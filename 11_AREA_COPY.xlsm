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drawings/drawing4.xml" ContentType="application/vnd.openxmlformats-officedocument.drawing+xml"/>
  <Override PartName="/xl/tables/table3.xml" ContentType="application/vnd.openxmlformats-officedocument.spreadsheetml.table+xml"/>
  <Override PartName="/xl/drawings/drawing5.xml" ContentType="application/vnd.openxmlformats-officedocument.drawing+xml"/>
  <Override PartName="/xl/tables/table4.xml" ContentType="application/vnd.openxmlformats-officedocument.spreadsheetml.table+xml"/>
  <Override PartName="/xl/drawings/drawing6.xml" ContentType="application/vnd.openxmlformats-officedocument.drawing+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3628" codeName="{4D1C537B-E38A-612A-F078-A93A15B4B7F4}"/>
  <workbookPr codeName="ThisWorkbook" defaultThemeVersion="124226"/>
  <mc:AlternateContent xmlns:mc="http://schemas.openxmlformats.org/markup-compatibility/2006">
    <mc:Choice Requires="x15">
      <x15ac:absPath xmlns:x15ac="http://schemas.microsoft.com/office/spreadsheetml/2010/11/ac" url="E:\099_Technology\VBA\VBA目次\1.VBA習得カテゴリ\1.1_Excel操作\1.1.1_AREA_COPY\"/>
    </mc:Choice>
  </mc:AlternateContent>
  <xr:revisionPtr revIDLastSave="0" documentId="13_ncr:1_{2B59E094-81AE-419D-8523-01EA5365A474}" xr6:coauthVersionLast="46" xr6:coauthVersionMax="46" xr10:uidLastSave="{00000000-0000-0000-0000-000000000000}"/>
  <bookViews>
    <workbookView xWindow="-110" yWindow="-110" windowWidth="19420" windowHeight="10420" tabRatio="716" activeTab="1" xr2:uid="{00000000-000D-0000-FFFF-FFFF00000000}"/>
  </bookViews>
  <sheets>
    <sheet name="設計思想" sheetId="1" r:id="rId1"/>
    <sheet name="ブックAのシート1" sheetId="2" r:id="rId2"/>
    <sheet name="ブックBのシート２" sheetId="9" r:id="rId3"/>
    <sheet name="ブックCのシート３" sheetId="10" r:id="rId4"/>
    <sheet name="雛形" sheetId="8" r:id="rId5"/>
    <sheet name="セットアップ" sheetId="7" r:id="rId6"/>
  </sheets>
  <externalReferences>
    <externalReference r:id="rId7"/>
  </externalReferences>
  <definedNames>
    <definedName name="CategoryList">[1]セットアップ!$B$5:$B$10</definedName>
    <definedName name="EmployeeList" xml:space="preserve"> [1]セットアップ!$C$5:$C$10</definedName>
    <definedName name="FlagPercent">[1]プロジェクト管理シート!$D$2</definedName>
  </definedNames>
  <calcPr calcId="191029"/>
</workbook>
</file>

<file path=xl/calcChain.xml><?xml version="1.0" encoding="utf-8"?>
<calcChain xmlns="http://schemas.openxmlformats.org/spreadsheetml/2006/main">
  <c r="N7" i="10" l="1"/>
  <c r="H7" i="10"/>
  <c r="N6" i="10"/>
  <c r="J6" i="10"/>
  <c r="I6" i="10"/>
  <c r="H6" i="10"/>
  <c r="F6" i="10"/>
  <c r="E6" i="10"/>
  <c r="N5" i="10"/>
  <c r="J5" i="10"/>
  <c r="I5" i="10"/>
  <c r="H5" i="10"/>
  <c r="F5" i="10"/>
  <c r="E5" i="10"/>
  <c r="N7" i="9"/>
  <c r="J7" i="9"/>
  <c r="I7" i="9"/>
  <c r="H7" i="9"/>
  <c r="F7" i="9"/>
  <c r="E7" i="9"/>
  <c r="N6" i="9"/>
  <c r="J6" i="9"/>
  <c r="I6" i="9"/>
  <c r="H6" i="9"/>
  <c r="F6" i="9"/>
  <c r="E6" i="9"/>
  <c r="N5" i="9"/>
  <c r="J5" i="9"/>
  <c r="I5" i="9"/>
  <c r="H5" i="9"/>
  <c r="F5" i="9"/>
  <c r="E5" i="9"/>
  <c r="N7" i="2"/>
  <c r="J7" i="2"/>
  <c r="I7" i="2"/>
  <c r="H7" i="2"/>
  <c r="F7" i="2"/>
  <c r="E7" i="2"/>
  <c r="N6" i="2"/>
  <c r="J6" i="2"/>
  <c r="I6" i="2"/>
  <c r="H6" i="2"/>
  <c r="F6" i="2"/>
  <c r="E6" i="2"/>
  <c r="N5" i="2"/>
  <c r="J5" i="2"/>
  <c r="I5" i="2"/>
  <c r="H5" i="2"/>
  <c r="F5" i="2"/>
  <c r="E5" i="2"/>
  <c r="N13" i="8" l="1"/>
  <c r="H13" i="8"/>
  <c r="N12" i="8"/>
  <c r="J12" i="8"/>
  <c r="I12" i="8"/>
  <c r="H12" i="8"/>
  <c r="F12" i="8"/>
  <c r="E12" i="8"/>
  <c r="N11" i="8"/>
  <c r="J11" i="8"/>
  <c r="I11" i="8"/>
  <c r="H11" i="8"/>
  <c r="F11" i="8"/>
  <c r="E11" i="8"/>
  <c r="N10" i="8"/>
  <c r="J10" i="8"/>
  <c r="I10" i="8"/>
  <c r="H10" i="8"/>
  <c r="F10" i="8"/>
  <c r="E10" i="8"/>
  <c r="N9" i="8"/>
  <c r="J9" i="8"/>
  <c r="I9" i="8"/>
  <c r="H9" i="8"/>
  <c r="F9" i="8"/>
  <c r="E9" i="8"/>
  <c r="N8" i="8"/>
  <c r="J8" i="8"/>
  <c r="I8" i="8"/>
  <c r="H8" i="8"/>
  <c r="F8" i="8"/>
  <c r="E8" i="8"/>
  <c r="N7" i="8"/>
  <c r="J7" i="8"/>
  <c r="I7" i="8"/>
  <c r="H7" i="8"/>
  <c r="F7" i="8"/>
  <c r="E7" i="8"/>
  <c r="N6" i="8"/>
  <c r="J6" i="8"/>
  <c r="I6" i="8"/>
  <c r="H6" i="8"/>
  <c r="F6" i="8"/>
  <c r="E6" i="8"/>
  <c r="N5" i="8"/>
  <c r="J5" i="8"/>
  <c r="I5" i="8"/>
  <c r="H5" i="8"/>
  <c r="F5" i="8"/>
  <c r="E5" i="8"/>
</calcChain>
</file>

<file path=xl/sharedStrings.xml><?xml version="1.0" encoding="utf-8"?>
<sst xmlns="http://schemas.openxmlformats.org/spreadsheetml/2006/main" count="169" uniqueCount="65">
  <si>
    <t>ブックBのシート２</t>
    <phoneticPr fontId="1"/>
  </si>
  <si>
    <t>ブックCのシート３</t>
    <phoneticPr fontId="1"/>
  </si>
  <si>
    <t>ブックAのシート1</t>
    <phoneticPr fontId="1"/>
  </si>
  <si>
    <t>統合したデータの指標をグラフ化し、異常検知や運営データを常に監視する</t>
    <rPh sb="0" eb="2">
      <t>トウゴウ</t>
    </rPh>
    <rPh sb="8" eb="10">
      <t>シヒョウ</t>
    </rPh>
    <rPh sb="14" eb="15">
      <t>カ</t>
    </rPh>
    <rPh sb="17" eb="19">
      <t>イジョウ</t>
    </rPh>
    <rPh sb="19" eb="21">
      <t>ケンチ</t>
    </rPh>
    <rPh sb="22" eb="24">
      <t>ウンエイ</t>
    </rPh>
    <rPh sb="28" eb="29">
      <t>ツネ</t>
    </rPh>
    <rPh sb="30" eb="32">
      <t>カンシ</t>
    </rPh>
    <phoneticPr fontId="1"/>
  </si>
  <si>
    <t>■背景と目的</t>
    <rPh sb="1" eb="3">
      <t>ハイケイ</t>
    </rPh>
    <rPh sb="4" eb="6">
      <t>モクテキ</t>
    </rPh>
    <phoneticPr fontId="1"/>
  </si>
  <si>
    <t>■実現方法</t>
    <rPh sb="1" eb="3">
      <t>ジツゲン</t>
    </rPh>
    <rPh sb="3" eb="5">
      <t>ホウホウ</t>
    </rPh>
    <phoneticPr fontId="1"/>
  </si>
  <si>
    <t>①VBAでそれぞれのブックシートをコピーし、ひとつエクセルファイルに統合し、数式でデータ統合を実現する。</t>
    <rPh sb="34" eb="36">
      <t>トウゴウ</t>
    </rPh>
    <rPh sb="38" eb="40">
      <t>スウシキ</t>
    </rPh>
    <rPh sb="44" eb="46">
      <t>トウゴウ</t>
    </rPh>
    <rPh sb="47" eb="49">
      <t>ジツゲン</t>
    </rPh>
    <phoneticPr fontId="1"/>
  </si>
  <si>
    <t>②VBAでブックシートコピーではなく、数式のデータ統合がVBAの中にロジックで実現し、雛形に転記する。</t>
    <rPh sb="19" eb="21">
      <t>スウシキ</t>
    </rPh>
    <rPh sb="25" eb="27">
      <t>トウゴウ</t>
    </rPh>
    <rPh sb="32" eb="33">
      <t>ナカ</t>
    </rPh>
    <rPh sb="39" eb="41">
      <t>ジツゲン</t>
    </rPh>
    <phoneticPr fontId="1"/>
  </si>
  <si>
    <t>今回は①のやり方で説明します。</t>
    <rPh sb="0" eb="2">
      <t>コンカイ</t>
    </rPh>
    <rPh sb="7" eb="8">
      <t>カタ</t>
    </rPh>
    <rPh sb="9" eb="11">
      <t>セツメイ</t>
    </rPh>
    <phoneticPr fontId="1"/>
  </si>
  <si>
    <t>■実現過程</t>
    <rPh sb="1" eb="3">
      <t>ジツゲン</t>
    </rPh>
    <rPh sb="3" eb="5">
      <t>カテイ</t>
    </rPh>
    <phoneticPr fontId="1"/>
  </si>
  <si>
    <t>①－１　VBAでブックシートのセルエリアのコピー機能を実装</t>
    <rPh sb="24" eb="26">
      <t>キノウ</t>
    </rPh>
    <rPh sb="27" eb="29">
      <t>ジッソウ</t>
    </rPh>
    <phoneticPr fontId="1"/>
  </si>
  <si>
    <t>①－２　事前に決めた雛形でセルに数式を埋めて、コピーできたシートのデータを参照にする。</t>
    <rPh sb="4" eb="6">
      <t>ジゼン</t>
    </rPh>
    <rPh sb="7" eb="8">
      <t>キ</t>
    </rPh>
    <rPh sb="10" eb="12">
      <t>ヒナガタ</t>
    </rPh>
    <rPh sb="16" eb="18">
      <t>スウシキ</t>
    </rPh>
    <rPh sb="19" eb="20">
      <t>ウ</t>
    </rPh>
    <rPh sb="37" eb="39">
      <t>サンショウ</t>
    </rPh>
    <phoneticPr fontId="1"/>
  </si>
  <si>
    <t>②の実現方法はVBA知識が多少必要のために、今回は見送りします。</t>
    <rPh sb="2" eb="4">
      <t>ジツゲン</t>
    </rPh>
    <rPh sb="4" eb="6">
      <t>ホウホウ</t>
    </rPh>
    <rPh sb="10" eb="12">
      <t>チシキ</t>
    </rPh>
    <rPh sb="13" eb="15">
      <t>タショウ</t>
    </rPh>
    <rPh sb="15" eb="17">
      <t>ヒツヨウ</t>
    </rPh>
    <rPh sb="22" eb="24">
      <t>コンカイ</t>
    </rPh>
    <rPh sb="25" eb="27">
      <t>ミオク</t>
    </rPh>
    <phoneticPr fontId="1"/>
  </si>
  <si>
    <t>プロジェクト</t>
  </si>
  <si>
    <t>カテゴリ</t>
  </si>
  <si>
    <t>担当者</t>
  </si>
  <si>
    <t>プロジェクト 1</t>
  </si>
  <si>
    <t>カテゴリ 1</t>
  </si>
  <si>
    <t>従業員 1</t>
  </si>
  <si>
    <t>プロジェクト 2</t>
  </si>
  <si>
    <t>カテゴリ 2</t>
  </si>
  <si>
    <t>従業員 4</t>
  </si>
  <si>
    <t>プロジェクト 3</t>
  </si>
  <si>
    <t>従業員 2</t>
  </si>
  <si>
    <t>プロジェクト 4</t>
  </si>
  <si>
    <t>従業員 3</t>
  </si>
  <si>
    <t>プロジェクト 5</t>
  </si>
  <si>
    <t>カテゴリ 3</t>
  </si>
  <si>
    <t>プロジェクト 6</t>
  </si>
  <si>
    <t>カテゴリ 4</t>
  </si>
  <si>
    <t>プロジェクト 7</t>
  </si>
  <si>
    <t>カテゴリ 5</t>
  </si>
  <si>
    <t>プロジェクト管理シート</t>
  </si>
  <si>
    <t xml:space="preserve">超過/過少率フラグ: </t>
  </si>
  <si>
    <t>プロジェクト 8</t>
  </si>
  <si>
    <t>プロジェクト 9</t>
  </si>
  <si>
    <t>実績
開始日</t>
  </si>
  <si>
    <t>実績
終了日</t>
  </si>
  <si>
    <t>超過/過少実績作業時間のフラグ アイコン</t>
  </si>
  <si>
    <t>超過/過少実績期間 (日数) のフラグ アイコン</t>
  </si>
  <si>
    <t>メモ</t>
  </si>
  <si>
    <t>予定開始日</t>
    <phoneticPr fontId="1"/>
  </si>
  <si>
    <t>予定終了日</t>
    <phoneticPr fontId="1"/>
  </si>
  <si>
    <t>見積もり作業時間</t>
    <phoneticPr fontId="1"/>
  </si>
  <si>
    <t>見積もり期間 (日数)</t>
    <phoneticPr fontId="1"/>
  </si>
  <si>
    <t>実績作業時間</t>
    <phoneticPr fontId="1"/>
  </si>
  <si>
    <t>実績期間 (日数)</t>
    <phoneticPr fontId="1"/>
  </si>
  <si>
    <t>セットアップ</t>
  </si>
  <si>
    <t>カテゴリ名</t>
    <phoneticPr fontId="1"/>
  </si>
  <si>
    <t>従業員名</t>
  </si>
  <si>
    <t>従業員 5</t>
  </si>
  <si>
    <t>カテゴリ 6</t>
  </si>
  <si>
    <t>従業員 6</t>
  </si>
  <si>
    <t>予定開始日</t>
    <phoneticPr fontId="1"/>
  </si>
  <si>
    <t>予定終了日</t>
    <phoneticPr fontId="1"/>
  </si>
  <si>
    <t>見積もり作業時間</t>
    <phoneticPr fontId="1"/>
  </si>
  <si>
    <t>見積もり期間 (日数)</t>
    <phoneticPr fontId="1"/>
  </si>
  <si>
    <t>実績作業時間</t>
    <phoneticPr fontId="1"/>
  </si>
  <si>
    <t>実績期間 (日数)</t>
    <phoneticPr fontId="1"/>
  </si>
  <si>
    <t>■ソースコード</t>
    <phoneticPr fontId="1"/>
  </si>
  <si>
    <t>BOOK_A.Worksheets("シート1").Range("A1", "Q13").Copy Destination:=BOOK_Working.Worksheets("ブックAのシート1").Range("A1", "Q13")</t>
  </si>
  <si>
    <t>'指定したセルのエリアをデータ統合用ブックのシートへコピーする</t>
  </si>
  <si>
    <t>BOOK_B.Worksheets("シート2").Range("A1", "Q13").Copy Destination:=BOOK_Working.Worksheets("ブックBのシート２").Range("A1", "Q13")</t>
  </si>
  <si>
    <t>BOOK_C.Worksheets("シート3").Range("A1", "Q13").Copy Destination:=BOOK_Working.Worksheets("ブックCのシート３").Range("A1", "Q13")</t>
  </si>
  <si>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</sst>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76" formatCode="&quot;Over/Under flag&quot;;&quot;&quot;;&quot;&quot;"/>
  </numFmts>
  <fonts count="23" x14ac:knownFonts="1">
    <font>
      <sz val="11"/>
      <color theme="1"/>
      <name val="ＭＳ Ｐゴシック"/>
      <family val="2"/>
      <scheme val="minor"/>
    </font>
    <font>
      <sz val="6"/>
      <name val="ＭＳ Ｐゴシック"/>
      <family val="3"/>
      <charset val="128"/>
      <scheme val="minor"/>
    </font>
    <font>
      <sz val="16"/>
      <color theme="1"/>
      <name val="ＭＳ Ｐゴシック"/>
      <family val="2"/>
      <scheme val="minor"/>
    </font>
    <font>
      <b/>
      <sz val="16"/>
      <color theme="1"/>
      <name val="ＭＳ Ｐゴシック"/>
      <family val="3"/>
      <charset val="128"/>
      <scheme val="minor"/>
    </font>
    <font>
      <sz val="18"/>
      <color theme="3"/>
      <name val="ＭＳ Ｐゴシック"/>
      <family val="2"/>
      <charset val="128"/>
      <scheme val="major"/>
    </font>
    <font>
      <b/>
      <sz val="13"/>
      <color theme="3"/>
      <name val="ＭＳ Ｐゴシック"/>
      <family val="2"/>
      <charset val="128"/>
      <scheme val="minor"/>
    </font>
    <font>
      <b/>
      <sz val="11"/>
      <color theme="3"/>
      <name val="ＭＳ Ｐゴシック"/>
      <family val="2"/>
      <charset val="128"/>
      <scheme val="minor"/>
    </font>
    <font>
      <sz val="11"/>
      <color rgb="FF3F3F76"/>
      <name val="ＭＳ Ｐゴシック"/>
      <family val="2"/>
      <charset val="128"/>
      <scheme val="minor"/>
    </font>
    <font>
      <b/>
      <sz val="11"/>
      <color theme="2" tint="-0.89996032593768116"/>
      <name val="Meiryo UI"/>
      <family val="3"/>
      <charset val="128"/>
    </font>
    <font>
      <sz val="11"/>
      <color theme="2" tint="-0.89989928891872917"/>
      <name val="ＭＳ Ｐゴシック"/>
      <family val="2"/>
      <scheme val="minor"/>
    </font>
    <font>
      <sz val="11"/>
      <color theme="2" tint="-0.89989928891872917"/>
      <name val="Meiryo UI"/>
      <family val="3"/>
      <charset val="128"/>
    </font>
    <font>
      <sz val="11"/>
      <color theme="2" tint="-0.89992980742820516"/>
      <name val="ＭＳ Ｐゴシック"/>
      <family val="2"/>
      <scheme val="minor"/>
    </font>
    <font>
      <sz val="11"/>
      <color theme="2" tint="-0.89992980742820516"/>
      <name val="Meiryo UI"/>
      <family val="3"/>
      <charset val="128"/>
    </font>
    <font>
      <sz val="24"/>
      <color theme="3"/>
      <name val="Meiryo UI"/>
      <family val="3"/>
      <charset val="128"/>
    </font>
    <font>
      <sz val="11"/>
      <color theme="3" tint="-0.499984740745262"/>
      <name val="Meiryo UI"/>
      <family val="3"/>
      <charset val="128"/>
    </font>
    <font>
      <b/>
      <sz val="12"/>
      <color theme="9" tint="-0.499984740745262"/>
      <name val="Meiryo UI"/>
      <family val="3"/>
      <charset val="128"/>
    </font>
    <font>
      <b/>
      <sz val="11"/>
      <color theme="9"/>
      <name val="Meiryo UI"/>
      <family val="3"/>
      <charset val="128"/>
    </font>
    <font>
      <sz val="11"/>
      <color theme="0"/>
      <name val="ＭＳ Ｐゴシック"/>
      <family val="2"/>
      <scheme val="minor"/>
    </font>
    <font>
      <sz val="11"/>
      <color theme="0"/>
      <name val="Meiryo UI"/>
      <family val="3"/>
      <charset val="128"/>
    </font>
    <font>
      <b/>
      <sz val="11"/>
      <name val="Meiryo UI"/>
      <family val="3"/>
      <charset val="128"/>
    </font>
    <font>
      <sz val="11"/>
      <name val="Meiryo UI"/>
      <family val="3"/>
      <charset val="128"/>
    </font>
    <font>
      <sz val="11"/>
      <color rgb="FF000000"/>
      <name val="ＭＳ Ｐゴシック"/>
      <family val="3"/>
      <charset val="128"/>
    </font>
    <font>
      <b/>
      <sz val="11"/>
      <color theme="1"/>
      <name val="ＭＳ Ｐゴシック"/>
      <family val="3"/>
      <charset val="128"/>
      <scheme val="minor"/>
    </font>
  </fonts>
  <fills count="6">
    <fill>
      <patternFill patternType="none"/>
    </fill>
    <fill>
      <patternFill patternType="gray125"/>
    </fill>
    <fill>
      <patternFill patternType="solid">
        <fgColor theme="0"/>
        <bgColor indexed="64"/>
      </patternFill>
    </fill>
    <fill>
      <patternFill patternType="solid">
        <fgColor rgb="FF92D050"/>
        <bgColor indexed="64"/>
      </patternFill>
    </fill>
    <fill>
      <patternFill patternType="solid">
        <fgColor rgb="FFFFCC99"/>
      </patternFill>
    </fill>
    <fill>
      <patternFill patternType="solid">
        <fgColor theme="2"/>
        <bgColor indexed="64"/>
      </patternFill>
    </fill>
  </fills>
  <borders count="7">
    <border>
      <left/>
      <right/>
      <top/>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right style="thick">
        <color theme="0"/>
      </right>
      <top/>
      <bottom/>
      <diagonal/>
    </border>
    <border>
      <left style="thick">
        <color theme="0"/>
      </left>
      <right/>
      <top/>
      <bottom/>
      <diagonal/>
    </border>
    <border>
      <left style="thin">
        <color auto="1"/>
      </left>
      <right/>
      <top/>
      <bottom/>
      <diagonal/>
    </border>
  </borders>
  <cellStyleXfs count="13">
    <xf numFmtId="0" fontId="0" fillId="0" borderId="0"/>
    <xf numFmtId="0" fontId="4" fillId="0" borderId="0" applyNumberFormat="0" applyFill="0" applyBorder="0" applyAlignment="0" applyProtection="0">
      <alignment vertical="center"/>
    </xf>
    <xf numFmtId="0" fontId="5" fillId="0" borderId="1" applyNumberFormat="0" applyFill="0" applyAlignment="0" applyProtection="0">
      <alignment vertical="center"/>
    </xf>
    <xf numFmtId="0" fontId="6" fillId="0" borderId="2" applyNumberFormat="0" applyFill="0" applyAlignment="0" applyProtection="0">
      <alignment vertical="center"/>
    </xf>
    <xf numFmtId="0" fontId="6" fillId="0" borderId="0" applyNumberFormat="0" applyFill="0" applyBorder="0" applyAlignment="0" applyProtection="0">
      <alignment vertical="center"/>
    </xf>
    <xf numFmtId="0" fontId="7" fillId="4" borderId="3" applyNumberFormat="0" applyAlignment="0" applyProtection="0">
      <alignment vertical="center"/>
    </xf>
    <xf numFmtId="0" fontId="9" fillId="0" borderId="0" applyFill="0" applyBorder="0" applyProtection="0">
      <alignment horizontal="left" vertical="center" wrapText="1" indent="1"/>
    </xf>
    <xf numFmtId="14" fontId="11" fillId="0" borderId="0" applyFill="0" applyBorder="0" applyProtection="0">
      <alignment horizontal="right" vertical="center" indent="2"/>
    </xf>
    <xf numFmtId="3" fontId="9" fillId="0" borderId="0" applyFill="0" applyBorder="0" applyProtection="0">
      <alignment horizontal="left" vertical="center" indent="1"/>
    </xf>
    <xf numFmtId="3" fontId="9" fillId="5" borderId="4">
      <alignment horizontal="left" vertical="center" indent="1"/>
    </xf>
    <xf numFmtId="14" fontId="11" fillId="0" borderId="5">
      <alignment horizontal="left" vertical="center" indent="2"/>
    </xf>
    <xf numFmtId="176" fontId="17" fillId="0" borderId="6">
      <alignment horizontal="right" vertical="center"/>
    </xf>
    <xf numFmtId="3" fontId="9" fillId="5" borderId="0" applyBorder="0">
      <alignment horizontal="left" vertical="center" indent="1"/>
    </xf>
  </cellStyleXfs>
  <cellXfs count="29">
    <xf numFmtId="0" fontId="0" fillId="0" borderId="0" xfId="0"/>
    <xf numFmtId="0" fontId="0" fillId="2" borderId="0" xfId="0" applyFill="1"/>
    <xf numFmtId="0" fontId="3" fillId="2" borderId="0" xfId="0" applyFont="1" applyFill="1"/>
    <xf numFmtId="0" fontId="13" fillId="0" borderId="0" xfId="1" applyFont="1" applyAlignment="1" applyProtection="1">
      <alignment vertical="center"/>
    </xf>
    <xf numFmtId="0" fontId="14" fillId="0" borderId="0" xfId="0" applyFont="1" applyAlignment="1">
      <alignment vertical="center"/>
    </xf>
    <xf numFmtId="0" fontId="14" fillId="0" borderId="0" xfId="0" applyFont="1" applyAlignment="1" applyProtection="1">
      <alignment vertical="center"/>
    </xf>
    <xf numFmtId="14" fontId="14" fillId="0" borderId="0" xfId="7" applyFont="1" applyAlignment="1" applyProtection="1">
      <alignment vertical="center"/>
    </xf>
    <xf numFmtId="0" fontId="14" fillId="0" borderId="0" xfId="0" applyFont="1" applyAlignment="1">
      <alignment horizontal="right" vertical="center"/>
    </xf>
    <xf numFmtId="0" fontId="15" fillId="4" borderId="3" xfId="5" applyFont="1" applyAlignment="1" applyProtection="1">
      <alignment horizontal="center" vertical="center"/>
    </xf>
    <xf numFmtId="0" fontId="8" fillId="0" borderId="0" xfId="2" applyFont="1" applyFill="1" applyBorder="1" applyAlignment="1">
      <alignment horizontal="left" vertical="center" wrapText="1" indent="1"/>
    </xf>
    <xf numFmtId="14" fontId="8" fillId="0" borderId="0" xfId="2" applyNumberFormat="1" applyFont="1" applyFill="1" applyBorder="1" applyAlignment="1">
      <alignment horizontal="left" vertical="center" wrapText="1" indent="1"/>
    </xf>
    <xf numFmtId="3" fontId="8" fillId="0" borderId="0" xfId="2" applyNumberFormat="1" applyFont="1" applyFill="1" applyBorder="1" applyAlignment="1">
      <alignment horizontal="left" vertical="center" wrapText="1" indent="1"/>
    </xf>
    <xf numFmtId="0" fontId="8" fillId="0" borderId="0" xfId="2" applyNumberFormat="1" applyFont="1" applyFill="1" applyBorder="1" applyAlignment="1">
      <alignment horizontal="left" vertical="center" wrapText="1" indent="1"/>
    </xf>
    <xf numFmtId="0" fontId="10" fillId="0" borderId="0" xfId="6" applyNumberFormat="1" applyFont="1" applyBorder="1" applyAlignment="1">
      <alignment horizontal="left" vertical="center" wrapText="1" indent="1"/>
    </xf>
    <xf numFmtId="14" fontId="12" fillId="0" borderId="0" xfId="7" applyNumberFormat="1" applyFont="1" applyBorder="1" applyAlignment="1">
      <alignment horizontal="right" vertical="center" indent="2"/>
    </xf>
    <xf numFmtId="3" fontId="10" fillId="0" borderId="0" xfId="8" applyNumberFormat="1" applyFont="1" applyBorder="1" applyAlignment="1">
      <alignment horizontal="left" vertical="center" indent="1"/>
    </xf>
    <xf numFmtId="3" fontId="10" fillId="5" borderId="0" xfId="9" applyNumberFormat="1" applyFont="1" applyFill="1" applyBorder="1" applyAlignment="1">
      <alignment horizontal="left" vertical="center" indent="1"/>
    </xf>
    <xf numFmtId="14" fontId="8" fillId="0" borderId="5" xfId="4" applyNumberFormat="1" applyFont="1" applyFill="1" applyBorder="1" applyAlignment="1">
      <alignment horizontal="left" vertical="center" wrapText="1" indent="2"/>
    </xf>
    <xf numFmtId="176" fontId="16" fillId="0" borderId="0" xfId="3" applyNumberFormat="1" applyFont="1" applyFill="1" applyBorder="1" applyAlignment="1">
      <alignment horizontal="left" vertical="center" indent="1"/>
    </xf>
    <xf numFmtId="14" fontId="12" fillId="0" borderId="5" xfId="10" applyNumberFormat="1" applyFont="1" applyBorder="1" applyAlignment="1">
      <alignment horizontal="left" vertical="center" indent="2"/>
    </xf>
    <xf numFmtId="176" fontId="18" fillId="0" borderId="6" xfId="11" applyNumberFormat="1" applyFont="1" applyBorder="1" applyAlignment="1">
      <alignment horizontal="right" vertical="center"/>
    </xf>
    <xf numFmtId="3" fontId="10" fillId="5" borderId="0" xfId="12" applyNumberFormat="1" applyFont="1" applyFill="1" applyBorder="1" applyAlignment="1">
      <alignment horizontal="left" vertical="center" indent="1"/>
    </xf>
    <xf numFmtId="0" fontId="13" fillId="0" borderId="0" xfId="1" applyFont="1" applyAlignment="1">
      <alignment vertical="center"/>
    </xf>
    <xf numFmtId="0" fontId="19" fillId="0" borderId="0" xfId="0" applyFont="1" applyAlignment="1">
      <alignment horizontal="left" vertical="center" indent="1"/>
    </xf>
    <xf numFmtId="0" fontId="20" fillId="0" borderId="0" xfId="0" applyFont="1" applyAlignment="1">
      <alignment horizontal="left" vertical="center" indent="1"/>
    </xf>
    <xf numFmtId="0" fontId="14" fillId="0" borderId="0" xfId="0" applyFont="1" applyAlignment="1">
      <alignment horizontal="left" vertical="center"/>
    </xf>
    <xf numFmtId="0" fontId="22" fillId="2" borderId="0" xfId="0" applyFont="1" applyFill="1"/>
    <xf numFmtId="0" fontId="2" fillId="3" borderId="0" xfId="0" applyFont="1" applyFill="1" applyAlignment="1">
      <alignment horizontal="center" vertical="center"/>
    </xf>
    <xf numFmtId="0" fontId="2" fillId="3" borderId="0" xfId="0" applyFont="1" applyFill="1" applyAlignment="1">
      <alignment horizontal="center" vertical="center" wrapText="1"/>
    </xf>
  </cellXfs>
  <cellStyles count="13">
    <cellStyle name="タイトル" xfId="1" builtinId="15"/>
    <cellStyle name="テキスト" xfId="6" xr:uid="{00000000-0005-0000-0000-000001000000}"/>
    <cellStyle name="フラグ" xfId="11" xr:uid="{00000000-0005-0000-0000-000002000000}"/>
    <cellStyle name="灰色の列" xfId="12" xr:uid="{00000000-0005-0000-0000-000003000000}"/>
    <cellStyle name="見出し 2" xfId="2" builtinId="17"/>
    <cellStyle name="見出し 3" xfId="3" builtinId="18"/>
    <cellStyle name="見出し 4" xfId="4" builtinId="19"/>
    <cellStyle name="見積もり期間" xfId="9" xr:uid="{00000000-0005-0000-0000-000007000000}"/>
    <cellStyle name="実績開始日" xfId="10" xr:uid="{00000000-0005-0000-0000-000008000000}"/>
    <cellStyle name="数値" xfId="8" xr:uid="{00000000-0005-0000-0000-000009000000}"/>
    <cellStyle name="日付" xfId="7" xr:uid="{00000000-0005-0000-0000-00000A000000}"/>
    <cellStyle name="入力" xfId="5" builtinId="20"/>
    <cellStyle name="標準" xfId="0" builtinId="0"/>
  </cellStyles>
  <dxfs count="82">
    <dxf>
      <font>
        <strike val="0"/>
        <outline val="0"/>
        <shadow val="0"/>
        <u val="none"/>
        <vertAlign val="baseline"/>
        <sz val="11"/>
        <color auto="1"/>
        <name val="Meiryo UI"/>
        <scheme val="none"/>
      </font>
      <alignment horizontal="left" vertical="center" textRotation="0" wrapText="0" indent="1" justifyLastLine="0" shrinkToFit="0" readingOrder="0"/>
    </dxf>
    <dxf>
      <font>
        <strike val="0"/>
        <outline val="0"/>
        <shadow val="0"/>
        <u val="none"/>
        <vertAlign val="baseline"/>
        <sz val="11"/>
        <color auto="1"/>
        <name val="Meiryo UI"/>
        <scheme val="none"/>
      </font>
      <alignment horizontal="left" vertical="center" textRotation="0" wrapText="0" indent="1" justifyLastLine="0" shrinkToFit="0" readingOrder="0"/>
    </dxf>
    <dxf>
      <font>
        <strike val="0"/>
        <outline val="0"/>
        <shadow val="0"/>
        <u val="none"/>
        <vertAlign val="baseline"/>
        <sz val="11"/>
        <color auto="1"/>
        <name val="Meiryo UI"/>
        <scheme val="none"/>
      </font>
      <alignment horizontal="left" vertical="center" textRotation="0" wrapText="0" indent="1" justifyLastLine="0" shrinkToFit="0" readingOrder="0"/>
    </dxf>
    <dxf>
      <font>
        <strike val="0"/>
        <outline val="0"/>
        <shadow val="0"/>
        <u val="none"/>
        <vertAlign val="baseline"/>
        <sz val="11"/>
        <color auto="1"/>
        <name val="Meiryo UI"/>
        <scheme val="none"/>
      </font>
      <alignment horizontal="left" vertical="center" textRotation="0" wrapText="0" indent="1" justifyLastLine="0" shrinkToFit="0" readingOrder="0"/>
    </dxf>
    <dxf>
      <font>
        <b val="0"/>
        <i val="0"/>
        <strike val="0"/>
        <condense val="0"/>
        <extend val="0"/>
        <outline val="0"/>
        <shadow val="0"/>
        <u val="none"/>
        <vertAlign val="baseline"/>
        <sz val="11"/>
        <color theme="2" tint="-0.89989928891872917"/>
        <name val="Meiryo UI"/>
        <scheme val="none"/>
      </font>
      <numFmt numFmtId="0" formatCode="General"/>
      <alignment horizontal="left" vertical="center" textRotation="0" wrapText="1" indent="1" justifyLastLine="0" shrinkToFit="0" readingOrder="0"/>
    </dxf>
    <dxf>
      <font>
        <b val="0"/>
        <i val="0"/>
        <strike val="0"/>
        <condense val="0"/>
        <extend val="0"/>
        <outline val="0"/>
        <shadow val="0"/>
        <u val="none"/>
        <vertAlign val="baseline"/>
        <sz val="11"/>
        <color theme="2" tint="-0.89989928891872917"/>
        <name val="Meiryo UI"/>
        <scheme val="none"/>
      </font>
      <numFmt numFmtId="3" formatCode="#,##0"/>
      <fill>
        <patternFill patternType="solid">
          <fgColor indexed="64"/>
          <bgColor theme="2"/>
        </patternFill>
      </fill>
      <alignment horizontal="left" vertical="center" textRotation="0" wrapText="0" indent="1" justifyLastLine="0" shrinkToFit="0" readingOrder="0"/>
    </dxf>
    <dxf>
      <font>
        <b val="0"/>
        <i val="0"/>
        <strike val="0"/>
        <condense val="0"/>
        <extend val="0"/>
        <outline val="0"/>
        <shadow val="0"/>
        <u val="none"/>
        <vertAlign val="baseline"/>
        <sz val="11"/>
        <color theme="0"/>
        <name val="Meiryo UI"/>
        <scheme val="none"/>
      </font>
      <numFmt numFmtId="176" formatCode="&quot;Over/Under flag&quot;;&quot;&quot;;&quot;&quot;"/>
      <alignment horizontal="right" vertical="center" textRotation="0" wrapText="0" indent="0" justifyLastLine="0" shrinkToFit="0" readingOrder="0"/>
      <border diagonalUp="0" diagonalDown="0">
        <left style="thin">
          <color auto="1"/>
        </left>
        <right/>
        <top/>
        <bottom/>
        <vertical/>
        <horizontal/>
      </border>
    </dxf>
    <dxf>
      <font>
        <b val="0"/>
        <i val="0"/>
        <strike val="0"/>
        <condense val="0"/>
        <extend val="0"/>
        <outline val="0"/>
        <shadow val="0"/>
        <u val="none"/>
        <vertAlign val="baseline"/>
        <sz val="11"/>
        <color theme="2" tint="-0.89989928891872917"/>
        <name val="Meiryo UI"/>
        <scheme val="none"/>
      </font>
      <numFmt numFmtId="3" formatCode="#,##0"/>
      <alignment horizontal="left" vertical="center" textRotation="0" wrapText="0" indent="1" justifyLastLine="0" shrinkToFit="0" readingOrder="0"/>
    </dxf>
    <dxf>
      <font>
        <b val="0"/>
        <i val="0"/>
        <strike val="0"/>
        <condense val="0"/>
        <extend val="0"/>
        <outline val="0"/>
        <shadow val="0"/>
        <u val="none"/>
        <vertAlign val="baseline"/>
        <sz val="11"/>
        <color theme="0"/>
        <name val="Meiryo UI"/>
        <scheme val="none"/>
      </font>
      <numFmt numFmtId="176" formatCode="&quot;Over/Under flag&quot;;&quot;&quot;;&quot;&quot;"/>
      <alignment horizontal="right" vertical="center" textRotation="0" wrapText="0" indent="0" justifyLastLine="0" shrinkToFit="0" readingOrder="0"/>
      <border diagonalUp="0" diagonalDown="0">
        <left style="thin">
          <color auto="1"/>
        </left>
        <right/>
        <top/>
        <bottom/>
        <vertical/>
        <horizontal/>
      </border>
    </dxf>
    <dxf>
      <font>
        <b val="0"/>
        <i val="0"/>
        <strike val="0"/>
        <condense val="0"/>
        <extend val="0"/>
        <outline val="0"/>
        <shadow val="0"/>
        <u val="none"/>
        <vertAlign val="baseline"/>
        <sz val="11"/>
        <color theme="2" tint="-0.89992980742820516"/>
        <name val="Meiryo UI"/>
        <scheme val="none"/>
      </font>
      <numFmt numFmtId="19" formatCode="yyyy/m/d"/>
      <alignment horizontal="right" vertical="center" textRotation="0" wrapText="0" indent="2" justifyLastLine="0" shrinkToFit="0" readingOrder="0"/>
    </dxf>
    <dxf>
      <font>
        <b val="0"/>
        <i val="0"/>
        <strike val="0"/>
        <condense val="0"/>
        <extend val="0"/>
        <outline val="0"/>
        <shadow val="0"/>
        <u val="none"/>
        <vertAlign val="baseline"/>
        <sz val="11"/>
        <color theme="2" tint="-0.89992980742820516"/>
        <name val="Meiryo UI"/>
        <scheme val="none"/>
      </font>
      <numFmt numFmtId="19" formatCode="yyyy/m/d"/>
      <alignment horizontal="left" vertical="center" textRotation="0" wrapText="0" indent="2" justifyLastLine="0" shrinkToFit="0" readingOrder="0"/>
      <border diagonalUp="0" diagonalDown="0">
        <left style="thick">
          <color theme="0"/>
        </left>
        <right/>
        <top/>
        <bottom/>
        <vertical/>
        <horizontal/>
      </border>
    </dxf>
    <dxf>
      <font>
        <b val="0"/>
        <i val="0"/>
        <strike val="0"/>
        <condense val="0"/>
        <extend val="0"/>
        <outline val="0"/>
        <shadow val="0"/>
        <u val="none"/>
        <vertAlign val="baseline"/>
        <sz val="11"/>
        <color theme="2" tint="-0.89989928891872917"/>
        <name val="Meiryo UI"/>
        <scheme val="none"/>
      </font>
      <numFmt numFmtId="3" formatCode="#,##0"/>
      <fill>
        <patternFill patternType="solid">
          <fgColor indexed="64"/>
          <bgColor theme="2"/>
        </patternFill>
      </fill>
      <alignment horizontal="left" vertical="center" textRotation="0" wrapText="0" indent="1" justifyLastLine="0" shrinkToFit="0" readingOrder="0"/>
    </dxf>
    <dxf>
      <font>
        <b val="0"/>
        <i val="0"/>
        <strike val="0"/>
        <condense val="0"/>
        <extend val="0"/>
        <outline val="0"/>
        <shadow val="0"/>
        <u val="none"/>
        <vertAlign val="baseline"/>
        <sz val="11"/>
        <color theme="2" tint="-0.89989928891872917"/>
        <name val="Meiryo UI"/>
        <scheme val="none"/>
      </font>
      <numFmt numFmtId="3" formatCode="#,##0"/>
      <alignment horizontal="left" vertical="center" textRotation="0" wrapText="0" indent="1" justifyLastLine="0" shrinkToFit="0" readingOrder="0"/>
    </dxf>
    <dxf>
      <font>
        <b val="0"/>
        <i val="0"/>
        <strike val="0"/>
        <condense val="0"/>
        <extend val="0"/>
        <outline val="0"/>
        <shadow val="0"/>
        <u val="none"/>
        <vertAlign val="baseline"/>
        <sz val="11"/>
        <color theme="2" tint="-0.89992980742820516"/>
        <name val="Meiryo UI"/>
        <scheme val="none"/>
      </font>
      <numFmt numFmtId="19" formatCode="yyyy/m/d"/>
      <alignment horizontal="right" vertical="center" textRotation="0" wrapText="0" indent="2" justifyLastLine="0" shrinkToFit="0" readingOrder="0"/>
    </dxf>
    <dxf>
      <font>
        <b val="0"/>
        <i val="0"/>
        <strike val="0"/>
        <condense val="0"/>
        <extend val="0"/>
        <outline val="0"/>
        <shadow val="0"/>
        <u val="none"/>
        <vertAlign val="baseline"/>
        <sz val="11"/>
        <color theme="2" tint="-0.89992980742820516"/>
        <name val="Meiryo UI"/>
        <scheme val="none"/>
      </font>
      <numFmt numFmtId="19" formatCode="yyyy/m/d"/>
      <alignment horizontal="right" vertical="center" textRotation="0" wrapText="0" indent="2" justifyLastLine="0" shrinkToFit="0" readingOrder="0"/>
    </dxf>
    <dxf>
      <font>
        <b val="0"/>
        <i val="0"/>
        <strike val="0"/>
        <condense val="0"/>
        <extend val="0"/>
        <outline val="0"/>
        <shadow val="0"/>
        <u val="none"/>
        <vertAlign val="baseline"/>
        <sz val="11"/>
        <color theme="2" tint="-0.89989928891872917"/>
        <name val="Meiryo UI"/>
        <scheme val="none"/>
      </font>
      <numFmt numFmtId="0" formatCode="General"/>
      <alignment horizontal="left" vertical="center" textRotation="0" wrapText="1" indent="1" justifyLastLine="0" shrinkToFit="0" readingOrder="0"/>
    </dxf>
    <dxf>
      <font>
        <b val="0"/>
        <i val="0"/>
        <strike val="0"/>
        <condense val="0"/>
        <extend val="0"/>
        <outline val="0"/>
        <shadow val="0"/>
        <u val="none"/>
        <vertAlign val="baseline"/>
        <sz val="11"/>
        <color theme="2" tint="-0.89989928891872917"/>
        <name val="Meiryo UI"/>
        <scheme val="none"/>
      </font>
      <numFmt numFmtId="0" formatCode="General"/>
      <alignment horizontal="left" vertical="center" textRotation="0" wrapText="1" indent="1" justifyLastLine="0" shrinkToFit="0" readingOrder="0"/>
    </dxf>
    <dxf>
      <font>
        <b val="0"/>
        <i val="0"/>
        <strike val="0"/>
        <condense val="0"/>
        <extend val="0"/>
        <outline val="0"/>
        <shadow val="0"/>
        <u val="none"/>
        <vertAlign val="baseline"/>
        <sz val="11"/>
        <color theme="2" tint="-0.89989928891872917"/>
        <name val="Meiryo UI"/>
        <scheme val="none"/>
      </font>
      <numFmt numFmtId="0" formatCode="General"/>
      <alignment horizontal="left" vertical="center" textRotation="0" wrapText="1" indent="1" justifyLastLine="0" shrinkToFit="0" readingOrder="0"/>
    </dxf>
    <dxf>
      <border diagonalUp="0" diagonalDown="0">
        <left/>
        <right/>
        <top/>
        <bottom style="thin">
          <color rgb="FFF79646"/>
        </bottom>
      </border>
    </dxf>
    <dxf>
      <fill>
        <patternFill patternType="none">
          <fgColor indexed="64"/>
          <bgColor auto="1"/>
        </patternFill>
      </fill>
    </dxf>
    <dxf>
      <font>
        <b/>
        <i val="0"/>
        <color theme="4" tint="-0.499984740745262"/>
      </font>
    </dxf>
    <dxf>
      <font>
        <b/>
        <i val="0"/>
        <color theme="4" tint="-0.499984740745262"/>
      </font>
    </dxf>
    <dxf>
      <font>
        <b val="0"/>
        <i val="0"/>
        <strike val="0"/>
        <condense val="0"/>
        <extend val="0"/>
        <outline val="0"/>
        <shadow val="0"/>
        <u val="none"/>
        <vertAlign val="baseline"/>
        <sz val="11"/>
        <color theme="2" tint="-0.89989928891872917"/>
        <name val="Meiryo UI"/>
        <scheme val="none"/>
      </font>
      <numFmt numFmtId="0" formatCode="General"/>
      <alignment horizontal="left" vertical="center" textRotation="0" wrapText="1" indent="1" justifyLastLine="0" shrinkToFit="0" readingOrder="0"/>
    </dxf>
    <dxf>
      <font>
        <b val="0"/>
        <i val="0"/>
        <strike val="0"/>
        <condense val="0"/>
        <extend val="0"/>
        <outline val="0"/>
        <shadow val="0"/>
        <u val="none"/>
        <vertAlign val="baseline"/>
        <sz val="11"/>
        <color theme="2" tint="-0.89989928891872917"/>
        <name val="Meiryo UI"/>
        <scheme val="none"/>
      </font>
      <numFmt numFmtId="3" formatCode="#,##0"/>
      <fill>
        <patternFill patternType="solid">
          <fgColor indexed="64"/>
          <bgColor theme="2"/>
        </patternFill>
      </fill>
      <alignment horizontal="left" vertical="center" textRotation="0" wrapText="0" indent="1" justifyLastLine="0" shrinkToFit="0" readingOrder="0"/>
    </dxf>
    <dxf>
      <font>
        <b val="0"/>
        <i val="0"/>
        <strike val="0"/>
        <condense val="0"/>
        <extend val="0"/>
        <outline val="0"/>
        <shadow val="0"/>
        <u val="none"/>
        <vertAlign val="baseline"/>
        <sz val="11"/>
        <color theme="0"/>
        <name val="Meiryo UI"/>
        <scheme val="none"/>
      </font>
      <numFmt numFmtId="176" formatCode="&quot;Over/Under flag&quot;;&quot;&quot;;&quot;&quot;"/>
      <alignment horizontal="right" vertical="center" textRotation="0" wrapText="0" indent="0" justifyLastLine="0" shrinkToFit="0" readingOrder="0"/>
      <border diagonalUp="0" diagonalDown="0">
        <left style="thin">
          <color auto="1"/>
        </left>
        <right/>
        <top/>
        <bottom/>
        <vertical/>
        <horizontal/>
      </border>
    </dxf>
    <dxf>
      <font>
        <b val="0"/>
        <i val="0"/>
        <strike val="0"/>
        <condense val="0"/>
        <extend val="0"/>
        <outline val="0"/>
        <shadow val="0"/>
        <u val="none"/>
        <vertAlign val="baseline"/>
        <sz val="11"/>
        <color theme="2" tint="-0.89989928891872917"/>
        <name val="Meiryo UI"/>
        <scheme val="none"/>
      </font>
      <numFmt numFmtId="3" formatCode="#,##0"/>
      <alignment horizontal="left" vertical="center" textRotation="0" wrapText="0" indent="1" justifyLastLine="0" shrinkToFit="0" readingOrder="0"/>
    </dxf>
    <dxf>
      <font>
        <b val="0"/>
        <i val="0"/>
        <strike val="0"/>
        <condense val="0"/>
        <extend val="0"/>
        <outline val="0"/>
        <shadow val="0"/>
        <u val="none"/>
        <vertAlign val="baseline"/>
        <sz val="11"/>
        <color theme="0"/>
        <name val="Meiryo UI"/>
        <scheme val="none"/>
      </font>
      <numFmt numFmtId="176" formatCode="&quot;Over/Under flag&quot;;&quot;&quot;;&quot;&quot;"/>
      <alignment horizontal="right" vertical="center" textRotation="0" wrapText="0" indent="0" justifyLastLine="0" shrinkToFit="0" readingOrder="0"/>
      <border diagonalUp="0" diagonalDown="0">
        <left style="thin">
          <color auto="1"/>
        </left>
        <right/>
        <top/>
        <bottom/>
        <vertical/>
        <horizontal/>
      </border>
    </dxf>
    <dxf>
      <font>
        <b val="0"/>
        <i val="0"/>
        <strike val="0"/>
        <condense val="0"/>
        <extend val="0"/>
        <outline val="0"/>
        <shadow val="0"/>
        <u val="none"/>
        <vertAlign val="baseline"/>
        <sz val="11"/>
        <color theme="2" tint="-0.89992980742820516"/>
        <name val="Meiryo UI"/>
        <scheme val="none"/>
      </font>
      <numFmt numFmtId="19" formatCode="yyyy/m/d"/>
      <alignment horizontal="right" vertical="center" textRotation="0" wrapText="0" indent="2" justifyLastLine="0" shrinkToFit="0" readingOrder="0"/>
    </dxf>
    <dxf>
      <font>
        <b val="0"/>
        <i val="0"/>
        <strike val="0"/>
        <condense val="0"/>
        <extend val="0"/>
        <outline val="0"/>
        <shadow val="0"/>
        <u val="none"/>
        <vertAlign val="baseline"/>
        <sz val="11"/>
        <color theme="2" tint="-0.89992980742820516"/>
        <name val="Meiryo UI"/>
        <scheme val="none"/>
      </font>
      <numFmt numFmtId="19" formatCode="yyyy/m/d"/>
      <alignment horizontal="left" vertical="center" textRotation="0" wrapText="0" indent="2" justifyLastLine="0" shrinkToFit="0" readingOrder="0"/>
      <border diagonalUp="0" diagonalDown="0">
        <left style="thick">
          <color theme="0"/>
        </left>
        <right/>
        <top/>
        <bottom/>
        <vertical/>
        <horizontal/>
      </border>
    </dxf>
    <dxf>
      <font>
        <b val="0"/>
        <i val="0"/>
        <strike val="0"/>
        <condense val="0"/>
        <extend val="0"/>
        <outline val="0"/>
        <shadow val="0"/>
        <u val="none"/>
        <vertAlign val="baseline"/>
        <sz val="11"/>
        <color theme="2" tint="-0.89989928891872917"/>
        <name val="Meiryo UI"/>
        <scheme val="none"/>
      </font>
      <numFmt numFmtId="3" formatCode="#,##0"/>
      <fill>
        <patternFill patternType="solid">
          <fgColor indexed="64"/>
          <bgColor theme="2"/>
        </patternFill>
      </fill>
      <alignment horizontal="left" vertical="center" textRotation="0" wrapText="0" indent="1" justifyLastLine="0" shrinkToFit="0" readingOrder="0"/>
    </dxf>
    <dxf>
      <font>
        <b val="0"/>
        <i val="0"/>
        <strike val="0"/>
        <condense val="0"/>
        <extend val="0"/>
        <outline val="0"/>
        <shadow val="0"/>
        <u val="none"/>
        <vertAlign val="baseline"/>
        <sz val="11"/>
        <color theme="2" tint="-0.89989928891872917"/>
        <name val="Meiryo UI"/>
        <scheme val="none"/>
      </font>
      <numFmt numFmtId="3" formatCode="#,##0"/>
      <alignment horizontal="left" vertical="center" textRotation="0" wrapText="0" indent="1" justifyLastLine="0" shrinkToFit="0" readingOrder="0"/>
    </dxf>
    <dxf>
      <font>
        <b val="0"/>
        <i val="0"/>
        <strike val="0"/>
        <condense val="0"/>
        <extend val="0"/>
        <outline val="0"/>
        <shadow val="0"/>
        <u val="none"/>
        <vertAlign val="baseline"/>
        <sz val="11"/>
        <color theme="2" tint="-0.89992980742820516"/>
        <name val="Meiryo UI"/>
        <scheme val="none"/>
      </font>
      <numFmt numFmtId="19" formatCode="yyyy/m/d"/>
      <alignment horizontal="right" vertical="center" textRotation="0" wrapText="0" indent="2" justifyLastLine="0" shrinkToFit="0" readingOrder="0"/>
    </dxf>
    <dxf>
      <font>
        <b val="0"/>
        <i val="0"/>
        <strike val="0"/>
        <condense val="0"/>
        <extend val="0"/>
        <outline val="0"/>
        <shadow val="0"/>
        <u val="none"/>
        <vertAlign val="baseline"/>
        <sz val="11"/>
        <color theme="2" tint="-0.89992980742820516"/>
        <name val="Meiryo UI"/>
        <scheme val="none"/>
      </font>
      <numFmt numFmtId="19" formatCode="yyyy/m/d"/>
      <alignment horizontal="right" vertical="center" textRotation="0" wrapText="0" indent="2" justifyLastLine="0" shrinkToFit="0" readingOrder="0"/>
    </dxf>
    <dxf>
      <font>
        <b val="0"/>
        <i val="0"/>
        <strike val="0"/>
        <condense val="0"/>
        <extend val="0"/>
        <outline val="0"/>
        <shadow val="0"/>
        <u val="none"/>
        <vertAlign val="baseline"/>
        <sz val="11"/>
        <color theme="2" tint="-0.89989928891872917"/>
        <name val="Meiryo UI"/>
        <scheme val="none"/>
      </font>
      <numFmt numFmtId="0" formatCode="General"/>
      <alignment horizontal="left" vertical="center" textRotation="0" wrapText="1" indent="1" justifyLastLine="0" shrinkToFit="0" readingOrder="0"/>
    </dxf>
    <dxf>
      <font>
        <b val="0"/>
        <i val="0"/>
        <strike val="0"/>
        <condense val="0"/>
        <extend val="0"/>
        <outline val="0"/>
        <shadow val="0"/>
        <u val="none"/>
        <vertAlign val="baseline"/>
        <sz val="11"/>
        <color theme="2" tint="-0.89989928891872917"/>
        <name val="Meiryo UI"/>
        <scheme val="none"/>
      </font>
      <numFmt numFmtId="0" formatCode="General"/>
      <alignment horizontal="left" vertical="center" textRotation="0" wrapText="1" indent="1" justifyLastLine="0" shrinkToFit="0" readingOrder="0"/>
    </dxf>
    <dxf>
      <font>
        <b val="0"/>
        <i val="0"/>
        <strike val="0"/>
        <condense val="0"/>
        <extend val="0"/>
        <outline val="0"/>
        <shadow val="0"/>
        <u val="none"/>
        <vertAlign val="baseline"/>
        <sz val="11"/>
        <color theme="2" tint="-0.89989928891872917"/>
        <name val="Meiryo UI"/>
        <scheme val="none"/>
      </font>
      <numFmt numFmtId="0" formatCode="General"/>
      <alignment horizontal="left" vertical="center" textRotation="0" wrapText="1" indent="1" justifyLastLine="0" shrinkToFit="0" readingOrder="0"/>
    </dxf>
    <dxf>
      <border diagonalUp="0" diagonalDown="0">
        <left/>
        <right/>
        <top/>
        <bottom style="thin">
          <color rgb="FFF79646"/>
        </bottom>
      </border>
    </dxf>
    <dxf>
      <fill>
        <patternFill patternType="none">
          <fgColor indexed="64"/>
          <bgColor auto="1"/>
        </patternFill>
      </fill>
    </dxf>
    <dxf>
      <font>
        <b/>
        <i val="0"/>
        <color theme="4" tint="-0.499984740745262"/>
      </font>
    </dxf>
    <dxf>
      <font>
        <b/>
        <i val="0"/>
        <color theme="4" tint="-0.499984740745262"/>
      </font>
    </dxf>
    <dxf>
      <font>
        <b val="0"/>
        <i val="0"/>
        <strike val="0"/>
        <condense val="0"/>
        <extend val="0"/>
        <outline val="0"/>
        <shadow val="0"/>
        <u val="none"/>
        <vertAlign val="baseline"/>
        <sz val="11"/>
        <color theme="2" tint="-0.89989928891872917"/>
        <name val="Meiryo UI"/>
        <scheme val="none"/>
      </font>
      <numFmt numFmtId="0" formatCode="General"/>
      <alignment horizontal="left" vertical="center" textRotation="0" wrapText="1" indent="1" justifyLastLine="0" shrinkToFit="0" readingOrder="0"/>
    </dxf>
    <dxf>
      <font>
        <b val="0"/>
        <i val="0"/>
        <strike val="0"/>
        <condense val="0"/>
        <extend val="0"/>
        <outline val="0"/>
        <shadow val="0"/>
        <u val="none"/>
        <vertAlign val="baseline"/>
        <sz val="11"/>
        <color theme="2" tint="-0.89989928891872917"/>
        <name val="Meiryo UI"/>
        <scheme val="none"/>
      </font>
      <numFmt numFmtId="3" formatCode="#,##0"/>
      <fill>
        <patternFill patternType="solid">
          <fgColor indexed="64"/>
          <bgColor theme="2"/>
        </patternFill>
      </fill>
      <alignment horizontal="left" vertical="center" textRotation="0" wrapText="0" indent="1" justifyLastLine="0" shrinkToFit="0" readingOrder="0"/>
    </dxf>
    <dxf>
      <font>
        <b val="0"/>
        <i val="0"/>
        <strike val="0"/>
        <condense val="0"/>
        <extend val="0"/>
        <outline val="0"/>
        <shadow val="0"/>
        <u val="none"/>
        <vertAlign val="baseline"/>
        <sz val="11"/>
        <color theme="0"/>
        <name val="Meiryo UI"/>
        <scheme val="none"/>
      </font>
      <numFmt numFmtId="176" formatCode="&quot;Over/Under flag&quot;;&quot;&quot;;&quot;&quot;"/>
      <alignment horizontal="right" vertical="center" textRotation="0" wrapText="0" indent="0" justifyLastLine="0" shrinkToFit="0" readingOrder="0"/>
      <border diagonalUp="0" diagonalDown="0">
        <left style="thin">
          <color auto="1"/>
        </left>
        <right/>
        <top/>
        <bottom/>
        <vertical/>
        <horizontal/>
      </border>
    </dxf>
    <dxf>
      <font>
        <b val="0"/>
        <i val="0"/>
        <strike val="0"/>
        <condense val="0"/>
        <extend val="0"/>
        <outline val="0"/>
        <shadow val="0"/>
        <u val="none"/>
        <vertAlign val="baseline"/>
        <sz val="11"/>
        <color theme="2" tint="-0.89989928891872917"/>
        <name val="Meiryo UI"/>
        <scheme val="none"/>
      </font>
      <numFmt numFmtId="3" formatCode="#,##0"/>
      <alignment horizontal="left" vertical="center" textRotation="0" wrapText="0" indent="1" justifyLastLine="0" shrinkToFit="0" readingOrder="0"/>
    </dxf>
    <dxf>
      <font>
        <b val="0"/>
        <i val="0"/>
        <strike val="0"/>
        <condense val="0"/>
        <extend val="0"/>
        <outline val="0"/>
        <shadow val="0"/>
        <u val="none"/>
        <vertAlign val="baseline"/>
        <sz val="11"/>
        <color theme="0"/>
        <name val="Meiryo UI"/>
        <scheme val="none"/>
      </font>
      <numFmt numFmtId="176" formatCode="&quot;Over/Under flag&quot;;&quot;&quot;;&quot;&quot;"/>
      <alignment horizontal="right" vertical="center" textRotation="0" wrapText="0" indent="0" justifyLastLine="0" shrinkToFit="0" readingOrder="0"/>
      <border diagonalUp="0" diagonalDown="0">
        <left style="thin">
          <color auto="1"/>
        </left>
        <right/>
        <top/>
        <bottom/>
        <vertical/>
        <horizontal/>
      </border>
    </dxf>
    <dxf>
      <font>
        <b val="0"/>
        <i val="0"/>
        <strike val="0"/>
        <condense val="0"/>
        <extend val="0"/>
        <outline val="0"/>
        <shadow val="0"/>
        <u val="none"/>
        <vertAlign val="baseline"/>
        <sz val="11"/>
        <color theme="2" tint="-0.89992980742820516"/>
        <name val="Meiryo UI"/>
        <scheme val="none"/>
      </font>
      <numFmt numFmtId="19" formatCode="yyyy/m/d"/>
      <alignment horizontal="right" vertical="center" textRotation="0" wrapText="0" indent="2" justifyLastLine="0" shrinkToFit="0" readingOrder="0"/>
    </dxf>
    <dxf>
      <font>
        <b val="0"/>
        <i val="0"/>
        <strike val="0"/>
        <condense val="0"/>
        <extend val="0"/>
        <outline val="0"/>
        <shadow val="0"/>
        <u val="none"/>
        <vertAlign val="baseline"/>
        <sz val="11"/>
        <color theme="2" tint="-0.89992980742820516"/>
        <name val="Meiryo UI"/>
        <scheme val="none"/>
      </font>
      <numFmt numFmtId="19" formatCode="yyyy/m/d"/>
      <alignment horizontal="left" vertical="center" textRotation="0" wrapText="0" indent="2" justifyLastLine="0" shrinkToFit="0" readingOrder="0"/>
      <border diagonalUp="0" diagonalDown="0">
        <left style="thick">
          <color theme="0"/>
        </left>
        <right/>
        <top/>
        <bottom/>
        <vertical/>
        <horizontal/>
      </border>
    </dxf>
    <dxf>
      <font>
        <b val="0"/>
        <i val="0"/>
        <strike val="0"/>
        <condense val="0"/>
        <extend val="0"/>
        <outline val="0"/>
        <shadow val="0"/>
        <u val="none"/>
        <vertAlign val="baseline"/>
        <sz val="11"/>
        <color theme="2" tint="-0.89989928891872917"/>
        <name val="Meiryo UI"/>
        <scheme val="none"/>
      </font>
      <numFmt numFmtId="3" formatCode="#,##0"/>
      <fill>
        <patternFill patternType="solid">
          <fgColor indexed="64"/>
          <bgColor theme="2"/>
        </patternFill>
      </fill>
      <alignment horizontal="left" vertical="center" textRotation="0" wrapText="0" indent="1" justifyLastLine="0" shrinkToFit="0" readingOrder="0"/>
    </dxf>
    <dxf>
      <font>
        <b val="0"/>
        <i val="0"/>
        <strike val="0"/>
        <condense val="0"/>
        <extend val="0"/>
        <outline val="0"/>
        <shadow val="0"/>
        <u val="none"/>
        <vertAlign val="baseline"/>
        <sz val="11"/>
        <color theme="2" tint="-0.89989928891872917"/>
        <name val="Meiryo UI"/>
        <scheme val="none"/>
      </font>
      <numFmt numFmtId="3" formatCode="#,##0"/>
      <alignment horizontal="left" vertical="center" textRotation="0" wrapText="0" indent="1" justifyLastLine="0" shrinkToFit="0" readingOrder="0"/>
    </dxf>
    <dxf>
      <font>
        <b val="0"/>
        <i val="0"/>
        <strike val="0"/>
        <condense val="0"/>
        <extend val="0"/>
        <outline val="0"/>
        <shadow val="0"/>
        <u val="none"/>
        <vertAlign val="baseline"/>
        <sz val="11"/>
        <color theme="2" tint="-0.89992980742820516"/>
        <name val="Meiryo UI"/>
        <scheme val="none"/>
      </font>
      <numFmt numFmtId="19" formatCode="yyyy/m/d"/>
      <alignment horizontal="right" vertical="center" textRotation="0" wrapText="0" indent="2" justifyLastLine="0" shrinkToFit="0" readingOrder="0"/>
    </dxf>
    <dxf>
      <font>
        <b val="0"/>
        <i val="0"/>
        <strike val="0"/>
        <condense val="0"/>
        <extend val="0"/>
        <outline val="0"/>
        <shadow val="0"/>
        <u val="none"/>
        <vertAlign val="baseline"/>
        <sz val="11"/>
        <color theme="2" tint="-0.89992980742820516"/>
        <name val="Meiryo UI"/>
        <scheme val="none"/>
      </font>
      <numFmt numFmtId="19" formatCode="yyyy/m/d"/>
      <alignment horizontal="right" vertical="center" textRotation="0" wrapText="0" indent="2" justifyLastLine="0" shrinkToFit="0" readingOrder="0"/>
    </dxf>
    <dxf>
      <font>
        <b val="0"/>
        <i val="0"/>
        <strike val="0"/>
        <condense val="0"/>
        <extend val="0"/>
        <outline val="0"/>
        <shadow val="0"/>
        <u val="none"/>
        <vertAlign val="baseline"/>
        <sz val="11"/>
        <color theme="2" tint="-0.89989928891872917"/>
        <name val="Meiryo UI"/>
        <scheme val="none"/>
      </font>
      <numFmt numFmtId="0" formatCode="General"/>
      <alignment horizontal="left" vertical="center" textRotation="0" wrapText="1" indent="1" justifyLastLine="0" shrinkToFit="0" readingOrder="0"/>
    </dxf>
    <dxf>
      <font>
        <b val="0"/>
        <i val="0"/>
        <strike val="0"/>
        <condense val="0"/>
        <extend val="0"/>
        <outline val="0"/>
        <shadow val="0"/>
        <u val="none"/>
        <vertAlign val="baseline"/>
        <sz val="11"/>
        <color theme="2" tint="-0.89989928891872917"/>
        <name val="Meiryo UI"/>
        <scheme val="none"/>
      </font>
      <numFmt numFmtId="0" formatCode="General"/>
      <alignment horizontal="left" vertical="center" textRotation="0" wrapText="1" indent="1" justifyLastLine="0" shrinkToFit="0" readingOrder="0"/>
    </dxf>
    <dxf>
      <font>
        <b val="0"/>
        <i val="0"/>
        <strike val="0"/>
        <condense val="0"/>
        <extend val="0"/>
        <outline val="0"/>
        <shadow val="0"/>
        <u val="none"/>
        <vertAlign val="baseline"/>
        <sz val="11"/>
        <color theme="2" tint="-0.89989928891872917"/>
        <name val="Meiryo UI"/>
        <scheme val="none"/>
      </font>
      <numFmt numFmtId="0" formatCode="General"/>
      <alignment horizontal="left" vertical="center" textRotation="0" wrapText="1" indent="1" justifyLastLine="0" shrinkToFit="0" readingOrder="0"/>
    </dxf>
    <dxf>
      <border diagonalUp="0" diagonalDown="0">
        <left/>
        <right/>
        <top/>
        <bottom style="thin">
          <color rgb="FFF79646"/>
        </bottom>
      </border>
    </dxf>
    <dxf>
      <fill>
        <patternFill patternType="none">
          <fgColor indexed="64"/>
          <bgColor auto="1"/>
        </patternFill>
      </fill>
    </dxf>
    <dxf>
      <font>
        <b/>
        <i val="0"/>
        <color theme="4" tint="-0.499984740745262"/>
      </font>
    </dxf>
    <dxf>
      <font>
        <b/>
        <i val="0"/>
        <color theme="4" tint="-0.499984740745262"/>
      </font>
    </dxf>
    <dxf>
      <font>
        <b val="0"/>
        <i val="0"/>
        <strike val="0"/>
        <condense val="0"/>
        <extend val="0"/>
        <outline val="0"/>
        <shadow val="0"/>
        <u val="none"/>
        <vertAlign val="baseline"/>
        <sz val="11"/>
        <color theme="2" tint="-0.89989928891872917"/>
        <name val="Meiryo UI"/>
        <scheme val="none"/>
      </font>
      <numFmt numFmtId="0" formatCode="General"/>
      <alignment horizontal="left" vertical="center" textRotation="0" wrapText="1" indent="1" justifyLastLine="0" shrinkToFit="0" readingOrder="0"/>
    </dxf>
    <dxf>
      <font>
        <b val="0"/>
        <i val="0"/>
        <strike val="0"/>
        <condense val="0"/>
        <extend val="0"/>
        <outline val="0"/>
        <shadow val="0"/>
        <u val="none"/>
        <vertAlign val="baseline"/>
        <sz val="11"/>
        <color theme="2" tint="-0.89989928891872917"/>
        <name val="Meiryo UI"/>
        <scheme val="none"/>
      </font>
      <numFmt numFmtId="3" formatCode="#,##0"/>
      <fill>
        <patternFill patternType="solid">
          <fgColor indexed="64"/>
          <bgColor theme="2"/>
        </patternFill>
      </fill>
      <alignment horizontal="left" vertical="center" textRotation="0" wrapText="0" indent="1" justifyLastLine="0" shrinkToFit="0" readingOrder="0"/>
    </dxf>
    <dxf>
      <font>
        <b val="0"/>
        <i val="0"/>
        <strike val="0"/>
        <condense val="0"/>
        <extend val="0"/>
        <outline val="0"/>
        <shadow val="0"/>
        <u val="none"/>
        <vertAlign val="baseline"/>
        <sz val="11"/>
        <color theme="0"/>
        <name val="Meiryo UI"/>
        <scheme val="none"/>
      </font>
      <numFmt numFmtId="176" formatCode="&quot;Over/Under flag&quot;;&quot;&quot;;&quot;&quot;"/>
      <alignment horizontal="right" vertical="center" textRotation="0" wrapText="0" indent="0" justifyLastLine="0" shrinkToFit="0" readingOrder="0"/>
      <border diagonalUp="0" diagonalDown="0">
        <left style="thin">
          <color auto="1"/>
        </left>
        <right/>
        <top/>
        <bottom/>
        <vertical/>
        <horizontal/>
      </border>
    </dxf>
    <dxf>
      <font>
        <b val="0"/>
        <i val="0"/>
        <strike val="0"/>
        <condense val="0"/>
        <extend val="0"/>
        <outline val="0"/>
        <shadow val="0"/>
        <u val="none"/>
        <vertAlign val="baseline"/>
        <sz val="11"/>
        <color theme="2" tint="-0.89989928891872917"/>
        <name val="Meiryo UI"/>
        <scheme val="none"/>
      </font>
      <numFmt numFmtId="3" formatCode="#,##0"/>
      <alignment horizontal="left" vertical="center" textRotation="0" wrapText="0" indent="1" justifyLastLine="0" shrinkToFit="0" readingOrder="0"/>
    </dxf>
    <dxf>
      <font>
        <b val="0"/>
        <i val="0"/>
        <strike val="0"/>
        <condense val="0"/>
        <extend val="0"/>
        <outline val="0"/>
        <shadow val="0"/>
        <u val="none"/>
        <vertAlign val="baseline"/>
        <sz val="11"/>
        <color theme="0"/>
        <name val="Meiryo UI"/>
        <scheme val="none"/>
      </font>
      <numFmt numFmtId="176" formatCode="&quot;Over/Under flag&quot;;&quot;&quot;;&quot;&quot;"/>
      <alignment horizontal="right" vertical="center" textRotation="0" wrapText="0" indent="0" justifyLastLine="0" shrinkToFit="0" readingOrder="0"/>
      <border diagonalUp="0" diagonalDown="0">
        <left style="thin">
          <color auto="1"/>
        </left>
        <right/>
        <top/>
        <bottom/>
        <vertical/>
        <horizontal/>
      </border>
    </dxf>
    <dxf>
      <font>
        <b val="0"/>
        <i val="0"/>
        <strike val="0"/>
        <condense val="0"/>
        <extend val="0"/>
        <outline val="0"/>
        <shadow val="0"/>
        <u val="none"/>
        <vertAlign val="baseline"/>
        <sz val="11"/>
        <color theme="2" tint="-0.89992980742820516"/>
        <name val="Meiryo UI"/>
        <scheme val="none"/>
      </font>
      <numFmt numFmtId="19" formatCode="yyyy/m/d"/>
      <alignment horizontal="right" vertical="center" textRotation="0" wrapText="0" indent="2" justifyLastLine="0" shrinkToFit="0" readingOrder="0"/>
    </dxf>
    <dxf>
      <font>
        <b val="0"/>
        <i val="0"/>
        <strike val="0"/>
        <condense val="0"/>
        <extend val="0"/>
        <outline val="0"/>
        <shadow val="0"/>
        <u val="none"/>
        <vertAlign val="baseline"/>
        <sz val="11"/>
        <color theme="2" tint="-0.89992980742820516"/>
        <name val="Meiryo UI"/>
        <scheme val="none"/>
      </font>
      <numFmt numFmtId="19" formatCode="yyyy/m/d"/>
      <alignment horizontal="left" vertical="center" textRotation="0" wrapText="0" indent="2" justifyLastLine="0" shrinkToFit="0" readingOrder="0"/>
      <border diagonalUp="0" diagonalDown="0">
        <left style="thick">
          <color theme="0"/>
        </left>
        <right/>
        <top/>
        <bottom/>
        <vertical/>
        <horizontal/>
      </border>
    </dxf>
    <dxf>
      <font>
        <b val="0"/>
        <i val="0"/>
        <strike val="0"/>
        <condense val="0"/>
        <extend val="0"/>
        <outline val="0"/>
        <shadow val="0"/>
        <u val="none"/>
        <vertAlign val="baseline"/>
        <sz val="11"/>
        <color theme="2" tint="-0.89989928891872917"/>
        <name val="Meiryo UI"/>
        <scheme val="none"/>
      </font>
      <numFmt numFmtId="3" formatCode="#,##0"/>
      <fill>
        <patternFill patternType="solid">
          <fgColor indexed="64"/>
          <bgColor theme="2"/>
        </patternFill>
      </fill>
      <alignment horizontal="left" vertical="center" textRotation="0" wrapText="0" indent="1" justifyLastLine="0" shrinkToFit="0" readingOrder="0"/>
    </dxf>
    <dxf>
      <font>
        <b val="0"/>
        <i val="0"/>
        <strike val="0"/>
        <condense val="0"/>
        <extend val="0"/>
        <outline val="0"/>
        <shadow val="0"/>
        <u val="none"/>
        <vertAlign val="baseline"/>
        <sz val="11"/>
        <color theme="2" tint="-0.89989928891872917"/>
        <name val="Meiryo UI"/>
        <scheme val="none"/>
      </font>
      <numFmt numFmtId="3" formatCode="#,##0"/>
      <alignment horizontal="left" vertical="center" textRotation="0" wrapText="0" indent="1" justifyLastLine="0" shrinkToFit="0" readingOrder="0"/>
    </dxf>
    <dxf>
      <font>
        <b val="0"/>
        <i val="0"/>
        <strike val="0"/>
        <condense val="0"/>
        <extend val="0"/>
        <outline val="0"/>
        <shadow val="0"/>
        <u val="none"/>
        <vertAlign val="baseline"/>
        <sz val="11"/>
        <color theme="2" tint="-0.89992980742820516"/>
        <name val="Meiryo UI"/>
        <scheme val="none"/>
      </font>
      <numFmt numFmtId="19" formatCode="yyyy/m/d"/>
      <alignment horizontal="right" vertical="center" textRotation="0" wrapText="0" indent="2" justifyLastLine="0" shrinkToFit="0" readingOrder="0"/>
    </dxf>
    <dxf>
      <font>
        <b val="0"/>
        <i val="0"/>
        <strike val="0"/>
        <condense val="0"/>
        <extend val="0"/>
        <outline val="0"/>
        <shadow val="0"/>
        <u val="none"/>
        <vertAlign val="baseline"/>
        <sz val="11"/>
        <color theme="2" tint="-0.89992980742820516"/>
        <name val="Meiryo UI"/>
        <scheme val="none"/>
      </font>
      <numFmt numFmtId="19" formatCode="yyyy/m/d"/>
      <alignment horizontal="right" vertical="center" textRotation="0" wrapText="0" indent="2" justifyLastLine="0" shrinkToFit="0" readingOrder="0"/>
    </dxf>
    <dxf>
      <font>
        <b val="0"/>
        <i val="0"/>
        <strike val="0"/>
        <condense val="0"/>
        <extend val="0"/>
        <outline val="0"/>
        <shadow val="0"/>
        <u val="none"/>
        <vertAlign val="baseline"/>
        <sz val="11"/>
        <color theme="2" tint="-0.89989928891872917"/>
        <name val="Meiryo UI"/>
        <scheme val="none"/>
      </font>
      <numFmt numFmtId="0" formatCode="General"/>
      <alignment horizontal="left" vertical="center" textRotation="0" wrapText="1" indent="1" justifyLastLine="0" shrinkToFit="0" readingOrder="0"/>
    </dxf>
    <dxf>
      <font>
        <b val="0"/>
        <i val="0"/>
        <strike val="0"/>
        <condense val="0"/>
        <extend val="0"/>
        <outline val="0"/>
        <shadow val="0"/>
        <u val="none"/>
        <vertAlign val="baseline"/>
        <sz val="11"/>
        <color theme="2" tint="-0.89989928891872917"/>
        <name val="Meiryo UI"/>
        <scheme val="none"/>
      </font>
      <numFmt numFmtId="0" formatCode="General"/>
      <alignment horizontal="left" vertical="center" textRotation="0" wrapText="1" indent="1" justifyLastLine="0" shrinkToFit="0" readingOrder="0"/>
    </dxf>
    <dxf>
      <font>
        <b val="0"/>
        <i val="0"/>
        <strike val="0"/>
        <condense val="0"/>
        <extend val="0"/>
        <outline val="0"/>
        <shadow val="0"/>
        <u val="none"/>
        <vertAlign val="baseline"/>
        <sz val="11"/>
        <color theme="2" tint="-0.89989928891872917"/>
        <name val="Meiryo UI"/>
        <scheme val="none"/>
      </font>
      <numFmt numFmtId="0" formatCode="General"/>
      <alignment horizontal="left" vertical="center" textRotation="0" wrapText="1" indent="1" justifyLastLine="0" shrinkToFit="0" readingOrder="0"/>
    </dxf>
    <dxf>
      <border diagonalUp="0" diagonalDown="0">
        <left/>
        <right/>
        <top/>
        <bottom style="thin">
          <color rgb="FFF79646"/>
        </bottom>
      </border>
    </dxf>
    <dxf>
      <fill>
        <patternFill patternType="none">
          <fgColor indexed="64"/>
          <bgColor auto="1"/>
        </patternFill>
      </fill>
    </dxf>
    <dxf>
      <font>
        <b/>
        <i val="0"/>
        <color theme="4" tint="-0.499984740745262"/>
      </font>
    </dxf>
    <dxf>
      <font>
        <b/>
        <i val="0"/>
        <color theme="4" tint="-0.499984740745262"/>
      </font>
    </dxf>
    <dxf>
      <font>
        <b/>
        <i val="0"/>
        <color theme="2" tint="-0.89996032593768116"/>
      </font>
      <fill>
        <patternFill>
          <bgColor theme="9"/>
        </patternFill>
      </fill>
      <border>
        <bottom/>
      </border>
    </dxf>
    <dxf>
      <font>
        <b val="0"/>
        <i val="0"/>
        <color theme="2" tint="-0.749961851863155"/>
      </font>
      <border>
        <bottom style="thin">
          <color theme="9"/>
        </bottom>
        <horizontal style="thin">
          <color theme="3" tint="0.59996337778862885"/>
        </horizontal>
      </border>
    </dxf>
    <dxf>
      <font>
        <b/>
        <i val="0"/>
        <color theme="2" tint="-0.89996032593768116"/>
      </font>
      <fill>
        <patternFill>
          <bgColor theme="9"/>
        </patternFill>
      </fill>
      <border>
        <bottom/>
      </border>
    </dxf>
    <dxf>
      <font>
        <b val="0"/>
        <i val="0"/>
        <color theme="2" tint="-0.749961851863155"/>
      </font>
      <border>
        <bottom style="thin">
          <color theme="9"/>
        </bottom>
        <horizontal style="thin">
          <color theme="3" tint="0.59996337778862885"/>
        </horizontal>
      </border>
    </dxf>
    <dxf>
      <font>
        <b/>
        <i val="0"/>
        <color theme="2" tint="-0.89996032593768116"/>
      </font>
      <fill>
        <patternFill>
          <bgColor theme="9"/>
        </patternFill>
      </fill>
      <border>
        <bottom/>
      </border>
    </dxf>
    <dxf>
      <font>
        <b val="0"/>
        <i val="0"/>
        <color theme="2" tint="-0.749961851863155"/>
      </font>
      <border>
        <bottom style="thin">
          <color theme="9"/>
        </bottom>
        <horizontal style="thin">
          <color theme="3" tint="0.59996337778862885"/>
        </horizontal>
      </border>
    </dxf>
  </dxfs>
  <tableStyles count="3" defaultTableStyle="TableStyleMedium2" defaultPivotStyle="PivotStyleMedium9">
    <tableStyle name="ユーザー設定の表スタイル" pivot="0" count="2" xr9:uid="{00000000-0011-0000-FFFF-FFFF00000000}">
      <tableStyleElement type="wholeTable" dxfId="81"/>
      <tableStyleElement type="headerRow" dxfId="80"/>
    </tableStyle>
    <tableStyle name="ユーザー設定の表スタイル 2" pivot="0" count="2" xr9:uid="{00000000-0011-0000-FFFF-FFFF01000000}">
      <tableStyleElement type="wholeTable" dxfId="79"/>
      <tableStyleElement type="headerRow" dxfId="78"/>
    </tableStyle>
    <tableStyle name="ユーザー設定の表スタイル 3" pivot="0" count="2" xr9:uid="{00000000-0011-0000-FFFF-FFFF02000000}">
      <tableStyleElement type="wholeTable" dxfId="77"/>
      <tableStyleElement type="headerRow" dxfId="76"/>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hyperlink" Target="#&#12475;&#12483;&#12488;&#12450;&#12483;&#12503;!A1"/></Relationships>
</file>

<file path=xl/drawings/_rels/drawing3.xml.rels><?xml version="1.0" encoding="UTF-8" standalone="yes"?>
<Relationships xmlns="http://schemas.openxmlformats.org/package/2006/relationships"><Relationship Id="rId1" Type="http://schemas.openxmlformats.org/officeDocument/2006/relationships/hyperlink" Target="#&#12475;&#12483;&#12488;&#12450;&#12483;&#12503;!A1"/></Relationships>
</file>

<file path=xl/drawings/_rels/drawing4.xml.rels><?xml version="1.0" encoding="UTF-8" standalone="yes"?>
<Relationships xmlns="http://schemas.openxmlformats.org/package/2006/relationships"><Relationship Id="rId1" Type="http://schemas.openxmlformats.org/officeDocument/2006/relationships/hyperlink" Target="#&#12475;&#12483;&#12488;&#12450;&#12483;&#12503;!A1"/></Relationships>
</file>

<file path=xl/drawings/_rels/drawing5.xml.rels><?xml version="1.0" encoding="UTF-8" standalone="yes"?>
<Relationships xmlns="http://schemas.openxmlformats.org/package/2006/relationships"><Relationship Id="rId1" Type="http://schemas.openxmlformats.org/officeDocument/2006/relationships/hyperlink" Target="#&#12475;&#12483;&#12488;&#12450;&#12483;&#12503;!A1"/></Relationships>
</file>

<file path=xl/drawings/_rels/drawing6.xml.rels><?xml version="1.0" encoding="UTF-8" standalone="yes"?>
<Relationships xmlns="http://schemas.openxmlformats.org/package/2006/relationships"><Relationship Id="rId1" Type="http://schemas.openxmlformats.org/officeDocument/2006/relationships/hyperlink" Target="#&#12503;&#12525;&#12472;&#12455;&#12463;&#12488;&#31649;&#29702;&#12471;&#12540;&#12488;!A1"/></Relationships>
</file>

<file path=xl/drawings/drawing1.xml><?xml version="1.0" encoding="utf-8"?>
<xdr:wsDr xmlns:xdr="http://schemas.openxmlformats.org/drawingml/2006/spreadsheetDrawing" xmlns:a="http://schemas.openxmlformats.org/drawingml/2006/main">
  <xdr:twoCellAnchor>
    <xdr:from>
      <xdr:col>10</xdr:col>
      <xdr:colOff>95250</xdr:colOff>
      <xdr:row>5</xdr:row>
      <xdr:rowOff>57150</xdr:rowOff>
    </xdr:from>
    <xdr:to>
      <xdr:col>13</xdr:col>
      <xdr:colOff>66675</xdr:colOff>
      <xdr:row>6</xdr:row>
      <xdr:rowOff>57150</xdr:rowOff>
    </xdr:to>
    <xdr:sp macro="" textlink="">
      <xdr:nvSpPr>
        <xdr:cNvPr id="2" name="右矢印 1">
          <a:extLst>
            <a:ext uri="{FF2B5EF4-FFF2-40B4-BE49-F238E27FC236}">
              <a16:creationId xmlns:a16="http://schemas.microsoft.com/office/drawing/2014/main" id="{00000000-0008-0000-0000-000002000000}"/>
            </a:ext>
          </a:extLst>
        </xdr:cNvPr>
        <xdr:cNvSpPr/>
      </xdr:nvSpPr>
      <xdr:spPr>
        <a:xfrm>
          <a:off x="2857500" y="914400"/>
          <a:ext cx="800100" cy="171450"/>
        </a:xfrm>
        <a:prstGeom prst="rightArrow">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10</xdr:col>
      <xdr:colOff>123825</xdr:colOff>
      <xdr:row>10</xdr:row>
      <xdr:rowOff>76200</xdr:rowOff>
    </xdr:from>
    <xdr:to>
      <xdr:col>13</xdr:col>
      <xdr:colOff>95250</xdr:colOff>
      <xdr:row>11</xdr:row>
      <xdr:rowOff>76200</xdr:rowOff>
    </xdr:to>
    <xdr:sp macro="" textlink="">
      <xdr:nvSpPr>
        <xdr:cNvPr id="3" name="右矢印 2">
          <a:extLst>
            <a:ext uri="{FF2B5EF4-FFF2-40B4-BE49-F238E27FC236}">
              <a16:creationId xmlns:a16="http://schemas.microsoft.com/office/drawing/2014/main" id="{00000000-0008-0000-0000-000003000000}"/>
            </a:ext>
          </a:extLst>
        </xdr:cNvPr>
        <xdr:cNvSpPr/>
      </xdr:nvSpPr>
      <xdr:spPr>
        <a:xfrm>
          <a:off x="2886075" y="1790700"/>
          <a:ext cx="800100" cy="171450"/>
        </a:xfrm>
        <a:prstGeom prst="rightArrow">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10</xdr:col>
      <xdr:colOff>114300</xdr:colOff>
      <xdr:row>15</xdr:row>
      <xdr:rowOff>9525</xdr:rowOff>
    </xdr:from>
    <xdr:to>
      <xdr:col>13</xdr:col>
      <xdr:colOff>85725</xdr:colOff>
      <xdr:row>16</xdr:row>
      <xdr:rowOff>9525</xdr:rowOff>
    </xdr:to>
    <xdr:sp macro="" textlink="">
      <xdr:nvSpPr>
        <xdr:cNvPr id="4" name="右矢印 3">
          <a:extLst>
            <a:ext uri="{FF2B5EF4-FFF2-40B4-BE49-F238E27FC236}">
              <a16:creationId xmlns:a16="http://schemas.microsoft.com/office/drawing/2014/main" id="{00000000-0008-0000-0000-000004000000}"/>
            </a:ext>
          </a:extLst>
        </xdr:cNvPr>
        <xdr:cNvSpPr/>
      </xdr:nvSpPr>
      <xdr:spPr>
        <a:xfrm>
          <a:off x="2876550" y="2581275"/>
          <a:ext cx="800100" cy="171450"/>
        </a:xfrm>
        <a:prstGeom prst="rightArrow">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xdr:from>
          <xdr:col>24</xdr:col>
          <xdr:colOff>95250</xdr:colOff>
          <xdr:row>30</xdr:row>
          <xdr:rowOff>19050</xdr:rowOff>
        </xdr:from>
        <xdr:to>
          <xdr:col>30</xdr:col>
          <xdr:colOff>38100</xdr:colOff>
          <xdr:row>32</xdr:row>
          <xdr:rowOff>12700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AREA_COPY</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466</xdr:colOff>
      <xdr:row>1</xdr:row>
      <xdr:rowOff>6352</xdr:rowOff>
    </xdr:from>
    <xdr:to>
      <xdr:col>2</xdr:col>
      <xdr:colOff>0</xdr:colOff>
      <xdr:row>2</xdr:row>
      <xdr:rowOff>13608</xdr:rowOff>
    </xdr:to>
    <xdr:sp macro="" textlink="">
      <xdr:nvSpPr>
        <xdr:cNvPr id="2" name="セットアップ ボタン" descr="セットアップのナビゲーション ボタンクリックしてセットアップ ワークシートを表示します。" title="ナビゲーション ボタン - セットアップ">
          <a:hlinkClick xmlns:r="http://schemas.openxmlformats.org/officeDocument/2006/relationships" r:id="rId1" tooltip="クリックしてセットアップを表示"/>
          <a:extLst>
            <a:ext uri="{FF2B5EF4-FFF2-40B4-BE49-F238E27FC236}">
              <a16:creationId xmlns:a16="http://schemas.microsoft.com/office/drawing/2014/main" id="{00000000-0008-0000-0100-000002000000}"/>
            </a:ext>
          </a:extLst>
        </xdr:cNvPr>
        <xdr:cNvSpPr txBox="1">
          <a:spLocks noChangeAspect="1"/>
        </xdr:cNvSpPr>
      </xdr:nvSpPr>
      <xdr:spPr>
        <a:xfrm>
          <a:off x="340645" y="428173"/>
          <a:ext cx="1727641" cy="429078"/>
        </a:xfrm>
        <a:prstGeom prst="rect">
          <a:avLst/>
        </a:prstGeom>
        <a:solidFill>
          <a:schemeClr val="tx2">
            <a:lumMod val="75000"/>
          </a:schemeClr>
        </a:solidFill>
        <a:ln>
          <a:noFill/>
        </a:ln>
      </xdr:spPr>
      <xdr:style>
        <a:lnRef idx="2">
          <a:schemeClr val="accent3">
            <a:shade val="50000"/>
          </a:schemeClr>
        </a:lnRef>
        <a:fillRef idx="1">
          <a:schemeClr val="accent3"/>
        </a:fillRef>
        <a:effectRef idx="0">
          <a:schemeClr val="accent3"/>
        </a:effectRef>
        <a:fontRef idx="minor">
          <a:schemeClr val="lt1"/>
        </a:fontRef>
      </xdr:style>
      <xdr:txBody>
        <a:bodyPr vertOverflow="overflow" horzOverflow="overflow" wrap="none" lIns="0" tIns="0" rIns="0" bIns="0" rtlCol="0" anchor="ctr"/>
        <a:lstStyle/>
        <a:p>
          <a:pPr algn="ctr" rtl="0"/>
          <a:r>
            <a:rPr lang="ja" sz="1100" b="1">
              <a:latin typeface="Meiryo UI" panose="020B0604030504040204" pitchFamily="50" charset="-128"/>
              <a:ea typeface="Meiryo UI" panose="020B0604030504040204" pitchFamily="50" charset="-128"/>
            </a:rPr>
            <a:t>セットアップ</a:t>
          </a:r>
        </a:p>
      </xdr:txBody>
    </xdr:sp>
    <xdr:clientData fPrintsWithSheet="0"/>
  </xdr:twoCellAnchor>
  <xdr:twoCellAnchor editAs="oneCell">
    <xdr:from>
      <xdr:col>1</xdr:col>
      <xdr:colOff>466</xdr:colOff>
      <xdr:row>1</xdr:row>
      <xdr:rowOff>6351</xdr:rowOff>
    </xdr:from>
    <xdr:to>
      <xdr:col>1</xdr:col>
      <xdr:colOff>1162050</xdr:colOff>
      <xdr:row>1</xdr:row>
      <xdr:rowOff>283846</xdr:rowOff>
    </xdr:to>
    <xdr:sp macro="" textlink="">
      <xdr:nvSpPr>
        <xdr:cNvPr id="5" name="セットアップ ボタン" descr="セットアップのナビゲーション ボタンクリックしてセットアップ ワークシートを表示します。" title="ナビゲーション ボタン - セットアップ">
          <a:hlinkClick xmlns:r="http://schemas.openxmlformats.org/officeDocument/2006/relationships" r:id="rId1" tooltip="クリックしてセットアップを表示"/>
          <a:extLst>
            <a:ext uri="{FF2B5EF4-FFF2-40B4-BE49-F238E27FC236}">
              <a16:creationId xmlns:a16="http://schemas.microsoft.com/office/drawing/2014/main" id="{00000000-0008-0000-0100-000005000000}"/>
            </a:ext>
          </a:extLst>
        </xdr:cNvPr>
        <xdr:cNvSpPr txBox="1">
          <a:spLocks noChangeAspect="1"/>
        </xdr:cNvSpPr>
      </xdr:nvSpPr>
      <xdr:spPr>
        <a:xfrm>
          <a:off x="343366" y="425451"/>
          <a:ext cx="1161584" cy="277495"/>
        </a:xfrm>
        <a:prstGeom prst="rect">
          <a:avLst/>
        </a:prstGeom>
        <a:solidFill>
          <a:schemeClr val="tx2">
            <a:lumMod val="75000"/>
          </a:schemeClr>
        </a:solidFill>
        <a:ln>
          <a:noFill/>
        </a:ln>
      </xdr:spPr>
      <xdr:style>
        <a:lnRef idx="2">
          <a:schemeClr val="accent3">
            <a:shade val="50000"/>
          </a:schemeClr>
        </a:lnRef>
        <a:fillRef idx="1">
          <a:schemeClr val="accent3"/>
        </a:fillRef>
        <a:effectRef idx="0">
          <a:schemeClr val="accent3"/>
        </a:effectRef>
        <a:fontRef idx="minor">
          <a:schemeClr val="lt1"/>
        </a:fontRef>
      </xdr:style>
      <xdr:txBody>
        <a:bodyPr vertOverflow="overflow" horzOverflow="overflow" wrap="none" lIns="0" tIns="0" rIns="0" bIns="0" rtlCol="0" anchor="ctr"/>
        <a:lstStyle/>
        <a:p>
          <a:pPr algn="ctr" rtl="0"/>
          <a:r>
            <a:rPr lang="ja" sz="1100" b="1">
              <a:latin typeface="Meiryo UI" panose="020B0604030504040204" pitchFamily="50" charset="-128"/>
              <a:ea typeface="Meiryo UI" panose="020B0604030504040204" pitchFamily="50" charset="-128"/>
            </a:rPr>
            <a:t>セットアップ</a:t>
          </a:r>
        </a:p>
      </xdr:txBody>
    </xdr:sp>
    <xdr:clientData fPrintsWithSheet="0"/>
  </xdr:twoCellAnchor>
  <xdr:twoCellAnchor editAs="oneCell">
    <xdr:from>
      <xdr:col>1</xdr:col>
      <xdr:colOff>466</xdr:colOff>
      <xdr:row>1</xdr:row>
      <xdr:rowOff>6351</xdr:rowOff>
    </xdr:from>
    <xdr:to>
      <xdr:col>2</xdr:col>
      <xdr:colOff>2722</xdr:colOff>
      <xdr:row>1</xdr:row>
      <xdr:rowOff>415823</xdr:rowOff>
    </xdr:to>
    <xdr:sp macro="" textlink="">
      <xdr:nvSpPr>
        <xdr:cNvPr id="6" name="セットアップ ボタン" descr="セットアップのナビゲーション ボタンクリックしてセットアップ ワークシートを表示します。" title="ナビゲーション ボタン - セットアップ">
          <a:hlinkClick xmlns:r="http://schemas.openxmlformats.org/officeDocument/2006/relationships" r:id="rId1" tooltip="クリックしてセットアップを表示"/>
          <a:extLst>
            <a:ext uri="{FF2B5EF4-FFF2-40B4-BE49-F238E27FC236}">
              <a16:creationId xmlns:a16="http://schemas.microsoft.com/office/drawing/2014/main" id="{00000000-0008-0000-0100-000006000000}"/>
            </a:ext>
          </a:extLst>
        </xdr:cNvPr>
        <xdr:cNvSpPr txBox="1">
          <a:spLocks noChangeAspect="1"/>
        </xdr:cNvSpPr>
      </xdr:nvSpPr>
      <xdr:spPr>
        <a:xfrm>
          <a:off x="343366" y="425451"/>
          <a:ext cx="1714034" cy="409472"/>
        </a:xfrm>
        <a:prstGeom prst="rect">
          <a:avLst/>
        </a:prstGeom>
        <a:solidFill>
          <a:schemeClr val="tx2">
            <a:lumMod val="75000"/>
          </a:schemeClr>
        </a:solidFill>
        <a:ln>
          <a:noFill/>
        </a:ln>
      </xdr:spPr>
      <xdr:style>
        <a:lnRef idx="2">
          <a:schemeClr val="accent3">
            <a:shade val="50000"/>
          </a:schemeClr>
        </a:lnRef>
        <a:fillRef idx="1">
          <a:schemeClr val="accent3"/>
        </a:fillRef>
        <a:effectRef idx="0">
          <a:schemeClr val="accent3"/>
        </a:effectRef>
        <a:fontRef idx="minor">
          <a:schemeClr val="lt1"/>
        </a:fontRef>
      </xdr:style>
      <xdr:txBody>
        <a:bodyPr vertOverflow="overflow" horzOverflow="overflow" wrap="none" lIns="0" tIns="0" rIns="0" bIns="0" rtlCol="0" anchor="ctr"/>
        <a:lstStyle/>
        <a:p>
          <a:pPr algn="ctr" rtl="0"/>
          <a:r>
            <a:rPr lang="ja" sz="1100" b="1">
              <a:latin typeface="Meiryo UI" panose="020B0604030504040204" pitchFamily="50" charset="-128"/>
              <a:ea typeface="Meiryo UI" panose="020B0604030504040204" pitchFamily="50" charset="-128"/>
            </a:rPr>
            <a:t>セットアップ</a:t>
          </a:r>
        </a:p>
      </xdr:txBody>
    </xdr:sp>
    <xdr:clientData fPrintsWithSheet="0"/>
  </xdr:twoCellAnchor>
  <xdr:twoCellAnchor editAs="oneCell">
    <xdr:from>
      <xdr:col>1</xdr:col>
      <xdr:colOff>466</xdr:colOff>
      <xdr:row>1</xdr:row>
      <xdr:rowOff>6351</xdr:rowOff>
    </xdr:from>
    <xdr:to>
      <xdr:col>1</xdr:col>
      <xdr:colOff>1162050</xdr:colOff>
      <xdr:row>1</xdr:row>
      <xdr:rowOff>283846</xdr:rowOff>
    </xdr:to>
    <xdr:sp macro="" textlink="">
      <xdr:nvSpPr>
        <xdr:cNvPr id="7" name="セットアップ ボタン" descr="セットアップのナビゲーション ボタンクリックしてセットアップ ワークシートを表示します。" title="ナビゲーション ボタン - セットアップ">
          <a:hlinkClick xmlns:r="http://schemas.openxmlformats.org/officeDocument/2006/relationships" r:id="rId1" tooltip="クリックしてセットアップを表示"/>
          <a:extLst>
            <a:ext uri="{FF2B5EF4-FFF2-40B4-BE49-F238E27FC236}">
              <a16:creationId xmlns:a16="http://schemas.microsoft.com/office/drawing/2014/main" id="{00000000-0008-0000-0100-000007000000}"/>
            </a:ext>
          </a:extLst>
        </xdr:cNvPr>
        <xdr:cNvSpPr txBox="1">
          <a:spLocks noChangeAspect="1"/>
        </xdr:cNvSpPr>
      </xdr:nvSpPr>
      <xdr:spPr>
        <a:xfrm>
          <a:off x="343366" y="425451"/>
          <a:ext cx="1161584" cy="277495"/>
        </a:xfrm>
        <a:prstGeom prst="rect">
          <a:avLst/>
        </a:prstGeom>
        <a:solidFill>
          <a:schemeClr val="tx2">
            <a:lumMod val="75000"/>
          </a:schemeClr>
        </a:solidFill>
        <a:ln>
          <a:noFill/>
        </a:ln>
      </xdr:spPr>
      <xdr:style>
        <a:lnRef idx="2">
          <a:schemeClr val="accent3">
            <a:shade val="50000"/>
          </a:schemeClr>
        </a:lnRef>
        <a:fillRef idx="1">
          <a:schemeClr val="accent3"/>
        </a:fillRef>
        <a:effectRef idx="0">
          <a:schemeClr val="accent3"/>
        </a:effectRef>
        <a:fontRef idx="minor">
          <a:schemeClr val="lt1"/>
        </a:fontRef>
      </xdr:style>
      <xdr:txBody>
        <a:bodyPr vertOverflow="overflow" horzOverflow="overflow" wrap="none" lIns="0" tIns="0" rIns="0" bIns="0" rtlCol="0" anchor="ctr"/>
        <a:lstStyle/>
        <a:p>
          <a:pPr algn="ctr" rtl="0"/>
          <a:r>
            <a:rPr lang="ja" sz="1100" b="1">
              <a:latin typeface="Meiryo UI" panose="020B0604030504040204" pitchFamily="50" charset="-128"/>
              <a:ea typeface="Meiryo UI" panose="020B0604030504040204" pitchFamily="50" charset="-128"/>
            </a:rPr>
            <a:t>セットアップ</a:t>
          </a:r>
        </a:p>
      </xdr:txBody>
    </xdr:sp>
    <xdr:clientData fPrintsWithSheet="0"/>
  </xdr:twoCellAnchor>
  <xdr:twoCellAnchor editAs="oneCell">
    <xdr:from>
      <xdr:col>1</xdr:col>
      <xdr:colOff>466</xdr:colOff>
      <xdr:row>1</xdr:row>
      <xdr:rowOff>6351</xdr:rowOff>
    </xdr:from>
    <xdr:to>
      <xdr:col>2</xdr:col>
      <xdr:colOff>2722</xdr:colOff>
      <xdr:row>1</xdr:row>
      <xdr:rowOff>415823</xdr:rowOff>
    </xdr:to>
    <xdr:sp macro="" textlink="">
      <xdr:nvSpPr>
        <xdr:cNvPr id="8" name="セットアップ ボタン" descr="セットアップのナビゲーション ボタンクリックしてセットアップ ワークシートを表示します。" title="ナビゲーション ボタン - セットアップ">
          <a:hlinkClick xmlns:r="http://schemas.openxmlformats.org/officeDocument/2006/relationships" r:id="rId1" tooltip="クリックしてセットアップを表示"/>
          <a:extLst>
            <a:ext uri="{FF2B5EF4-FFF2-40B4-BE49-F238E27FC236}">
              <a16:creationId xmlns:a16="http://schemas.microsoft.com/office/drawing/2014/main" id="{00000000-0008-0000-0100-000008000000}"/>
            </a:ext>
          </a:extLst>
        </xdr:cNvPr>
        <xdr:cNvSpPr txBox="1">
          <a:spLocks noChangeAspect="1"/>
        </xdr:cNvSpPr>
      </xdr:nvSpPr>
      <xdr:spPr>
        <a:xfrm>
          <a:off x="343366" y="425451"/>
          <a:ext cx="1714034" cy="409472"/>
        </a:xfrm>
        <a:prstGeom prst="rect">
          <a:avLst/>
        </a:prstGeom>
        <a:solidFill>
          <a:schemeClr val="tx2">
            <a:lumMod val="75000"/>
          </a:schemeClr>
        </a:solidFill>
        <a:ln>
          <a:noFill/>
        </a:ln>
      </xdr:spPr>
      <xdr:style>
        <a:lnRef idx="2">
          <a:schemeClr val="accent3">
            <a:shade val="50000"/>
          </a:schemeClr>
        </a:lnRef>
        <a:fillRef idx="1">
          <a:schemeClr val="accent3"/>
        </a:fillRef>
        <a:effectRef idx="0">
          <a:schemeClr val="accent3"/>
        </a:effectRef>
        <a:fontRef idx="minor">
          <a:schemeClr val="lt1"/>
        </a:fontRef>
      </xdr:style>
      <xdr:txBody>
        <a:bodyPr vertOverflow="overflow" horzOverflow="overflow" wrap="none" lIns="0" tIns="0" rIns="0" bIns="0" rtlCol="0" anchor="ctr"/>
        <a:lstStyle/>
        <a:p>
          <a:pPr algn="ctr" rtl="0"/>
          <a:r>
            <a:rPr lang="ja" sz="1100" b="1">
              <a:latin typeface="Meiryo UI" panose="020B0604030504040204" pitchFamily="50" charset="-128"/>
              <a:ea typeface="Meiryo UI" panose="020B0604030504040204" pitchFamily="50" charset="-128"/>
            </a:rPr>
            <a:t>セットアップ</a:t>
          </a:r>
        </a:p>
      </xdr:txBody>
    </xdr:sp>
    <xdr:clientData fPrintsWithSheet="0"/>
  </xdr:twoCellAnchor>
  <xdr:twoCellAnchor editAs="oneCell">
    <xdr:from>
      <xdr:col>1</xdr:col>
      <xdr:colOff>466</xdr:colOff>
      <xdr:row>1</xdr:row>
      <xdr:rowOff>6351</xdr:rowOff>
    </xdr:from>
    <xdr:to>
      <xdr:col>1</xdr:col>
      <xdr:colOff>1162050</xdr:colOff>
      <xdr:row>1</xdr:row>
      <xdr:rowOff>283846</xdr:rowOff>
    </xdr:to>
    <xdr:sp macro="" textlink="">
      <xdr:nvSpPr>
        <xdr:cNvPr id="9" name="セットアップ ボタン" descr="セットアップのナビゲーション ボタンクリックしてセットアップ ワークシートを表示します。" title="ナビゲーション ボタン - セットアップ">
          <a:hlinkClick xmlns:r="http://schemas.openxmlformats.org/officeDocument/2006/relationships" r:id="rId1" tooltip="クリックしてセットアップを表示"/>
          <a:extLst>
            <a:ext uri="{FF2B5EF4-FFF2-40B4-BE49-F238E27FC236}">
              <a16:creationId xmlns:a16="http://schemas.microsoft.com/office/drawing/2014/main" id="{00000000-0008-0000-0100-000009000000}"/>
            </a:ext>
          </a:extLst>
        </xdr:cNvPr>
        <xdr:cNvSpPr txBox="1">
          <a:spLocks noChangeAspect="1"/>
        </xdr:cNvSpPr>
      </xdr:nvSpPr>
      <xdr:spPr>
        <a:xfrm>
          <a:off x="343366" y="425451"/>
          <a:ext cx="1161584" cy="277495"/>
        </a:xfrm>
        <a:prstGeom prst="rect">
          <a:avLst/>
        </a:prstGeom>
        <a:solidFill>
          <a:schemeClr val="tx2">
            <a:lumMod val="75000"/>
          </a:schemeClr>
        </a:solidFill>
        <a:ln>
          <a:noFill/>
        </a:ln>
      </xdr:spPr>
      <xdr:style>
        <a:lnRef idx="2">
          <a:schemeClr val="accent3">
            <a:shade val="50000"/>
          </a:schemeClr>
        </a:lnRef>
        <a:fillRef idx="1">
          <a:schemeClr val="accent3"/>
        </a:fillRef>
        <a:effectRef idx="0">
          <a:schemeClr val="accent3"/>
        </a:effectRef>
        <a:fontRef idx="minor">
          <a:schemeClr val="lt1"/>
        </a:fontRef>
      </xdr:style>
      <xdr:txBody>
        <a:bodyPr vertOverflow="overflow" horzOverflow="overflow" wrap="none" lIns="0" tIns="0" rIns="0" bIns="0" rtlCol="0" anchor="ctr"/>
        <a:lstStyle/>
        <a:p>
          <a:pPr algn="ctr" rtl="0"/>
          <a:r>
            <a:rPr lang="ja" sz="1100" b="1">
              <a:latin typeface="Meiryo UI" panose="020B0604030504040204" pitchFamily="50" charset="-128"/>
              <a:ea typeface="Meiryo UI" panose="020B0604030504040204" pitchFamily="50" charset="-128"/>
            </a:rPr>
            <a:t>セットアップ</a:t>
          </a:r>
        </a:p>
      </xdr:txBody>
    </xdr:sp>
    <xdr:clientData fPrintsWithSheet="0"/>
  </xdr:twoCellAnchor>
  <xdr:twoCellAnchor editAs="oneCell">
    <xdr:from>
      <xdr:col>1</xdr:col>
      <xdr:colOff>466</xdr:colOff>
      <xdr:row>1</xdr:row>
      <xdr:rowOff>6351</xdr:rowOff>
    </xdr:from>
    <xdr:to>
      <xdr:col>2</xdr:col>
      <xdr:colOff>2722</xdr:colOff>
      <xdr:row>1</xdr:row>
      <xdr:rowOff>415823</xdr:rowOff>
    </xdr:to>
    <xdr:sp macro="" textlink="">
      <xdr:nvSpPr>
        <xdr:cNvPr id="10" name="セットアップ ボタン" descr="セットアップのナビゲーション ボタンクリックしてセットアップ ワークシートを表示します。" title="ナビゲーション ボタン - セットアップ">
          <a:hlinkClick xmlns:r="http://schemas.openxmlformats.org/officeDocument/2006/relationships" r:id="rId1" tooltip="クリックしてセットアップを表示"/>
          <a:extLst>
            <a:ext uri="{FF2B5EF4-FFF2-40B4-BE49-F238E27FC236}">
              <a16:creationId xmlns:a16="http://schemas.microsoft.com/office/drawing/2014/main" id="{00000000-0008-0000-0100-00000A000000}"/>
            </a:ext>
          </a:extLst>
        </xdr:cNvPr>
        <xdr:cNvSpPr txBox="1">
          <a:spLocks noChangeAspect="1"/>
        </xdr:cNvSpPr>
      </xdr:nvSpPr>
      <xdr:spPr>
        <a:xfrm>
          <a:off x="343366" y="425451"/>
          <a:ext cx="1714034" cy="409472"/>
        </a:xfrm>
        <a:prstGeom prst="rect">
          <a:avLst/>
        </a:prstGeom>
        <a:solidFill>
          <a:schemeClr val="tx2">
            <a:lumMod val="75000"/>
          </a:schemeClr>
        </a:solidFill>
        <a:ln>
          <a:noFill/>
        </a:ln>
      </xdr:spPr>
      <xdr:style>
        <a:lnRef idx="2">
          <a:schemeClr val="accent3">
            <a:shade val="50000"/>
          </a:schemeClr>
        </a:lnRef>
        <a:fillRef idx="1">
          <a:schemeClr val="accent3"/>
        </a:fillRef>
        <a:effectRef idx="0">
          <a:schemeClr val="accent3"/>
        </a:effectRef>
        <a:fontRef idx="minor">
          <a:schemeClr val="lt1"/>
        </a:fontRef>
      </xdr:style>
      <xdr:txBody>
        <a:bodyPr vertOverflow="overflow" horzOverflow="overflow" wrap="none" lIns="0" tIns="0" rIns="0" bIns="0" rtlCol="0" anchor="ctr"/>
        <a:lstStyle/>
        <a:p>
          <a:pPr algn="ctr" rtl="0"/>
          <a:r>
            <a:rPr lang="ja" sz="1100" b="1">
              <a:latin typeface="Meiryo UI" panose="020B0604030504040204" pitchFamily="50" charset="-128"/>
              <a:ea typeface="Meiryo UI" panose="020B0604030504040204" pitchFamily="50" charset="-128"/>
            </a:rPr>
            <a:t>セットアップ</a:t>
          </a:r>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oneCell">
    <xdr:from>
      <xdr:col>1</xdr:col>
      <xdr:colOff>466</xdr:colOff>
      <xdr:row>1</xdr:row>
      <xdr:rowOff>6351</xdr:rowOff>
    </xdr:from>
    <xdr:to>
      <xdr:col>1</xdr:col>
      <xdr:colOff>1162050</xdr:colOff>
      <xdr:row>1</xdr:row>
      <xdr:rowOff>283846</xdr:rowOff>
    </xdr:to>
    <xdr:sp macro="" textlink="">
      <xdr:nvSpPr>
        <xdr:cNvPr id="6" name="セットアップ ボタン" descr="セットアップのナビゲーション ボタンクリックしてセットアップ ワークシートを表示します。" title="ナビゲーション ボタン - セットアップ">
          <a:hlinkClick xmlns:r="http://schemas.openxmlformats.org/officeDocument/2006/relationships" r:id="rId1" tooltip="クリックしてセットアップを表示"/>
          <a:extLst>
            <a:ext uri="{FF2B5EF4-FFF2-40B4-BE49-F238E27FC236}">
              <a16:creationId xmlns:a16="http://schemas.microsoft.com/office/drawing/2014/main" id="{00000000-0008-0000-0200-000006000000}"/>
            </a:ext>
          </a:extLst>
        </xdr:cNvPr>
        <xdr:cNvSpPr txBox="1">
          <a:spLocks noChangeAspect="1"/>
        </xdr:cNvSpPr>
      </xdr:nvSpPr>
      <xdr:spPr>
        <a:xfrm>
          <a:off x="343366" y="425451"/>
          <a:ext cx="1161584" cy="277495"/>
        </a:xfrm>
        <a:prstGeom prst="rect">
          <a:avLst/>
        </a:prstGeom>
        <a:solidFill>
          <a:schemeClr val="tx2">
            <a:lumMod val="75000"/>
          </a:schemeClr>
        </a:solidFill>
        <a:ln>
          <a:noFill/>
        </a:ln>
      </xdr:spPr>
      <xdr:style>
        <a:lnRef idx="2">
          <a:schemeClr val="accent3">
            <a:shade val="50000"/>
          </a:schemeClr>
        </a:lnRef>
        <a:fillRef idx="1">
          <a:schemeClr val="accent3"/>
        </a:fillRef>
        <a:effectRef idx="0">
          <a:schemeClr val="accent3"/>
        </a:effectRef>
        <a:fontRef idx="minor">
          <a:schemeClr val="lt1"/>
        </a:fontRef>
      </xdr:style>
      <xdr:txBody>
        <a:bodyPr vertOverflow="overflow" horzOverflow="overflow" wrap="none" lIns="0" tIns="0" rIns="0" bIns="0" rtlCol="0" anchor="ctr"/>
        <a:lstStyle/>
        <a:p>
          <a:pPr algn="ctr" rtl="0"/>
          <a:r>
            <a:rPr lang="ja" sz="1100" b="1">
              <a:latin typeface="Meiryo UI" panose="020B0604030504040204" pitchFamily="50" charset="-128"/>
              <a:ea typeface="Meiryo UI" panose="020B0604030504040204" pitchFamily="50" charset="-128"/>
            </a:rPr>
            <a:t>セットアップ</a:t>
          </a:r>
        </a:p>
      </xdr:txBody>
    </xdr:sp>
    <xdr:clientData fPrintsWithSheet="0"/>
  </xdr:twoCellAnchor>
  <xdr:twoCellAnchor editAs="oneCell">
    <xdr:from>
      <xdr:col>1</xdr:col>
      <xdr:colOff>466</xdr:colOff>
      <xdr:row>1</xdr:row>
      <xdr:rowOff>6351</xdr:rowOff>
    </xdr:from>
    <xdr:to>
      <xdr:col>2</xdr:col>
      <xdr:colOff>2722</xdr:colOff>
      <xdr:row>1</xdr:row>
      <xdr:rowOff>415823</xdr:rowOff>
    </xdr:to>
    <xdr:sp macro="" textlink="">
      <xdr:nvSpPr>
        <xdr:cNvPr id="7" name="セットアップ ボタン" descr="セットアップのナビゲーション ボタンクリックしてセットアップ ワークシートを表示します。" title="ナビゲーション ボタン - セットアップ">
          <a:hlinkClick xmlns:r="http://schemas.openxmlformats.org/officeDocument/2006/relationships" r:id="rId1" tooltip="クリックしてセットアップを表示"/>
          <a:extLst>
            <a:ext uri="{FF2B5EF4-FFF2-40B4-BE49-F238E27FC236}">
              <a16:creationId xmlns:a16="http://schemas.microsoft.com/office/drawing/2014/main" id="{00000000-0008-0000-0200-000007000000}"/>
            </a:ext>
          </a:extLst>
        </xdr:cNvPr>
        <xdr:cNvSpPr txBox="1">
          <a:spLocks noChangeAspect="1"/>
        </xdr:cNvSpPr>
      </xdr:nvSpPr>
      <xdr:spPr>
        <a:xfrm>
          <a:off x="340645" y="428172"/>
          <a:ext cx="1714034" cy="409472"/>
        </a:xfrm>
        <a:prstGeom prst="rect">
          <a:avLst/>
        </a:prstGeom>
        <a:solidFill>
          <a:schemeClr val="tx2">
            <a:lumMod val="75000"/>
          </a:schemeClr>
        </a:solidFill>
        <a:ln>
          <a:noFill/>
        </a:ln>
      </xdr:spPr>
      <xdr:style>
        <a:lnRef idx="2">
          <a:schemeClr val="accent3">
            <a:shade val="50000"/>
          </a:schemeClr>
        </a:lnRef>
        <a:fillRef idx="1">
          <a:schemeClr val="accent3"/>
        </a:fillRef>
        <a:effectRef idx="0">
          <a:schemeClr val="accent3"/>
        </a:effectRef>
        <a:fontRef idx="minor">
          <a:schemeClr val="lt1"/>
        </a:fontRef>
      </xdr:style>
      <xdr:txBody>
        <a:bodyPr vertOverflow="overflow" horzOverflow="overflow" wrap="none" lIns="0" tIns="0" rIns="0" bIns="0" rtlCol="0" anchor="ctr"/>
        <a:lstStyle/>
        <a:p>
          <a:pPr algn="ctr" rtl="0"/>
          <a:r>
            <a:rPr lang="ja" sz="1100" b="1">
              <a:latin typeface="Meiryo UI" panose="020B0604030504040204" pitchFamily="50" charset="-128"/>
              <a:ea typeface="Meiryo UI" panose="020B0604030504040204" pitchFamily="50" charset="-128"/>
            </a:rPr>
            <a:t>セットアップ</a:t>
          </a:r>
        </a:p>
      </xdr:txBody>
    </xdr:sp>
    <xdr:clientData fPrintsWithSheet="0"/>
  </xdr:twoCellAnchor>
  <xdr:twoCellAnchor editAs="oneCell">
    <xdr:from>
      <xdr:col>1</xdr:col>
      <xdr:colOff>466</xdr:colOff>
      <xdr:row>1</xdr:row>
      <xdr:rowOff>6351</xdr:rowOff>
    </xdr:from>
    <xdr:to>
      <xdr:col>1</xdr:col>
      <xdr:colOff>1162050</xdr:colOff>
      <xdr:row>1</xdr:row>
      <xdr:rowOff>283846</xdr:rowOff>
    </xdr:to>
    <xdr:sp macro="" textlink="">
      <xdr:nvSpPr>
        <xdr:cNvPr id="8" name="セットアップ ボタン" descr="セットアップのナビゲーション ボタンクリックしてセットアップ ワークシートを表示します。" title="ナビゲーション ボタン - セットアップ">
          <a:hlinkClick xmlns:r="http://schemas.openxmlformats.org/officeDocument/2006/relationships" r:id="rId1" tooltip="クリックしてセットアップを表示"/>
          <a:extLst>
            <a:ext uri="{FF2B5EF4-FFF2-40B4-BE49-F238E27FC236}">
              <a16:creationId xmlns:a16="http://schemas.microsoft.com/office/drawing/2014/main" id="{00000000-0008-0000-0200-000008000000}"/>
            </a:ext>
          </a:extLst>
        </xdr:cNvPr>
        <xdr:cNvSpPr txBox="1">
          <a:spLocks noChangeAspect="1"/>
        </xdr:cNvSpPr>
      </xdr:nvSpPr>
      <xdr:spPr>
        <a:xfrm>
          <a:off x="343366" y="425451"/>
          <a:ext cx="1161584" cy="277495"/>
        </a:xfrm>
        <a:prstGeom prst="rect">
          <a:avLst/>
        </a:prstGeom>
        <a:solidFill>
          <a:schemeClr val="tx2">
            <a:lumMod val="75000"/>
          </a:schemeClr>
        </a:solidFill>
        <a:ln>
          <a:noFill/>
        </a:ln>
      </xdr:spPr>
      <xdr:style>
        <a:lnRef idx="2">
          <a:schemeClr val="accent3">
            <a:shade val="50000"/>
          </a:schemeClr>
        </a:lnRef>
        <a:fillRef idx="1">
          <a:schemeClr val="accent3"/>
        </a:fillRef>
        <a:effectRef idx="0">
          <a:schemeClr val="accent3"/>
        </a:effectRef>
        <a:fontRef idx="minor">
          <a:schemeClr val="lt1"/>
        </a:fontRef>
      </xdr:style>
      <xdr:txBody>
        <a:bodyPr vertOverflow="overflow" horzOverflow="overflow" wrap="none" lIns="0" tIns="0" rIns="0" bIns="0" rtlCol="0" anchor="ctr"/>
        <a:lstStyle/>
        <a:p>
          <a:pPr algn="ctr" rtl="0"/>
          <a:r>
            <a:rPr lang="ja" sz="1100" b="1">
              <a:latin typeface="Meiryo UI" panose="020B0604030504040204" pitchFamily="50" charset="-128"/>
              <a:ea typeface="Meiryo UI" panose="020B0604030504040204" pitchFamily="50" charset="-128"/>
            </a:rPr>
            <a:t>セットアップ</a:t>
          </a:r>
        </a:p>
      </xdr:txBody>
    </xdr:sp>
    <xdr:clientData fPrintsWithSheet="0"/>
  </xdr:twoCellAnchor>
  <xdr:twoCellAnchor editAs="oneCell">
    <xdr:from>
      <xdr:col>1</xdr:col>
      <xdr:colOff>466</xdr:colOff>
      <xdr:row>1</xdr:row>
      <xdr:rowOff>6351</xdr:rowOff>
    </xdr:from>
    <xdr:to>
      <xdr:col>2</xdr:col>
      <xdr:colOff>2722</xdr:colOff>
      <xdr:row>1</xdr:row>
      <xdr:rowOff>415823</xdr:rowOff>
    </xdr:to>
    <xdr:sp macro="" textlink="">
      <xdr:nvSpPr>
        <xdr:cNvPr id="9" name="セットアップ ボタン" descr="セットアップのナビゲーション ボタンクリックしてセットアップ ワークシートを表示します。" title="ナビゲーション ボタン - セットアップ">
          <a:hlinkClick xmlns:r="http://schemas.openxmlformats.org/officeDocument/2006/relationships" r:id="rId1" tooltip="クリックしてセットアップを表示"/>
          <a:extLst>
            <a:ext uri="{FF2B5EF4-FFF2-40B4-BE49-F238E27FC236}">
              <a16:creationId xmlns:a16="http://schemas.microsoft.com/office/drawing/2014/main" id="{00000000-0008-0000-0200-000009000000}"/>
            </a:ext>
          </a:extLst>
        </xdr:cNvPr>
        <xdr:cNvSpPr txBox="1">
          <a:spLocks noChangeAspect="1"/>
        </xdr:cNvSpPr>
      </xdr:nvSpPr>
      <xdr:spPr>
        <a:xfrm>
          <a:off x="343366" y="425451"/>
          <a:ext cx="1714034" cy="409472"/>
        </a:xfrm>
        <a:prstGeom prst="rect">
          <a:avLst/>
        </a:prstGeom>
        <a:solidFill>
          <a:schemeClr val="tx2">
            <a:lumMod val="75000"/>
          </a:schemeClr>
        </a:solidFill>
        <a:ln>
          <a:noFill/>
        </a:ln>
      </xdr:spPr>
      <xdr:style>
        <a:lnRef idx="2">
          <a:schemeClr val="accent3">
            <a:shade val="50000"/>
          </a:schemeClr>
        </a:lnRef>
        <a:fillRef idx="1">
          <a:schemeClr val="accent3"/>
        </a:fillRef>
        <a:effectRef idx="0">
          <a:schemeClr val="accent3"/>
        </a:effectRef>
        <a:fontRef idx="minor">
          <a:schemeClr val="lt1"/>
        </a:fontRef>
      </xdr:style>
      <xdr:txBody>
        <a:bodyPr vertOverflow="overflow" horzOverflow="overflow" wrap="none" lIns="0" tIns="0" rIns="0" bIns="0" rtlCol="0" anchor="ctr"/>
        <a:lstStyle/>
        <a:p>
          <a:pPr algn="ctr" rtl="0"/>
          <a:r>
            <a:rPr lang="ja" sz="1100" b="1">
              <a:latin typeface="Meiryo UI" panose="020B0604030504040204" pitchFamily="50" charset="-128"/>
              <a:ea typeface="Meiryo UI" panose="020B0604030504040204" pitchFamily="50" charset="-128"/>
            </a:rPr>
            <a:t>セットアップ</a:t>
          </a:r>
        </a:p>
      </xdr:txBody>
    </xdr:sp>
    <xdr:clientData fPrintsWithSheet="0"/>
  </xdr:twoCellAnchor>
  <xdr:twoCellAnchor editAs="oneCell">
    <xdr:from>
      <xdr:col>1</xdr:col>
      <xdr:colOff>466</xdr:colOff>
      <xdr:row>1</xdr:row>
      <xdr:rowOff>6351</xdr:rowOff>
    </xdr:from>
    <xdr:to>
      <xdr:col>1</xdr:col>
      <xdr:colOff>1162050</xdr:colOff>
      <xdr:row>1</xdr:row>
      <xdr:rowOff>283846</xdr:rowOff>
    </xdr:to>
    <xdr:sp macro="" textlink="">
      <xdr:nvSpPr>
        <xdr:cNvPr id="10" name="セットアップ ボタン" descr="セットアップのナビゲーション ボタンクリックしてセットアップ ワークシートを表示します。" title="ナビゲーション ボタン - セットアップ">
          <a:hlinkClick xmlns:r="http://schemas.openxmlformats.org/officeDocument/2006/relationships" r:id="rId1" tooltip="クリックしてセットアップを表示"/>
          <a:extLst>
            <a:ext uri="{FF2B5EF4-FFF2-40B4-BE49-F238E27FC236}">
              <a16:creationId xmlns:a16="http://schemas.microsoft.com/office/drawing/2014/main" id="{00000000-0008-0000-0200-00000A000000}"/>
            </a:ext>
          </a:extLst>
        </xdr:cNvPr>
        <xdr:cNvSpPr txBox="1">
          <a:spLocks noChangeAspect="1"/>
        </xdr:cNvSpPr>
      </xdr:nvSpPr>
      <xdr:spPr>
        <a:xfrm>
          <a:off x="343366" y="425451"/>
          <a:ext cx="1161584" cy="277495"/>
        </a:xfrm>
        <a:prstGeom prst="rect">
          <a:avLst/>
        </a:prstGeom>
        <a:solidFill>
          <a:schemeClr val="tx2">
            <a:lumMod val="75000"/>
          </a:schemeClr>
        </a:solidFill>
        <a:ln>
          <a:noFill/>
        </a:ln>
      </xdr:spPr>
      <xdr:style>
        <a:lnRef idx="2">
          <a:schemeClr val="accent3">
            <a:shade val="50000"/>
          </a:schemeClr>
        </a:lnRef>
        <a:fillRef idx="1">
          <a:schemeClr val="accent3"/>
        </a:fillRef>
        <a:effectRef idx="0">
          <a:schemeClr val="accent3"/>
        </a:effectRef>
        <a:fontRef idx="minor">
          <a:schemeClr val="lt1"/>
        </a:fontRef>
      </xdr:style>
      <xdr:txBody>
        <a:bodyPr vertOverflow="overflow" horzOverflow="overflow" wrap="none" lIns="0" tIns="0" rIns="0" bIns="0" rtlCol="0" anchor="ctr"/>
        <a:lstStyle/>
        <a:p>
          <a:pPr algn="ctr" rtl="0"/>
          <a:r>
            <a:rPr lang="ja" sz="1100" b="1">
              <a:latin typeface="Meiryo UI" panose="020B0604030504040204" pitchFamily="50" charset="-128"/>
              <a:ea typeface="Meiryo UI" panose="020B0604030504040204" pitchFamily="50" charset="-128"/>
            </a:rPr>
            <a:t>セットアップ</a:t>
          </a:r>
        </a:p>
      </xdr:txBody>
    </xdr:sp>
    <xdr:clientData fPrintsWithSheet="0"/>
  </xdr:twoCellAnchor>
  <xdr:twoCellAnchor editAs="oneCell">
    <xdr:from>
      <xdr:col>1</xdr:col>
      <xdr:colOff>466</xdr:colOff>
      <xdr:row>1</xdr:row>
      <xdr:rowOff>6351</xdr:rowOff>
    </xdr:from>
    <xdr:to>
      <xdr:col>2</xdr:col>
      <xdr:colOff>2722</xdr:colOff>
      <xdr:row>1</xdr:row>
      <xdr:rowOff>415823</xdr:rowOff>
    </xdr:to>
    <xdr:sp macro="" textlink="">
      <xdr:nvSpPr>
        <xdr:cNvPr id="11" name="セットアップ ボタン" descr="セットアップのナビゲーション ボタンクリックしてセットアップ ワークシートを表示します。" title="ナビゲーション ボタン - セットアップ">
          <a:hlinkClick xmlns:r="http://schemas.openxmlformats.org/officeDocument/2006/relationships" r:id="rId1" tooltip="クリックしてセットアップを表示"/>
          <a:extLst>
            <a:ext uri="{FF2B5EF4-FFF2-40B4-BE49-F238E27FC236}">
              <a16:creationId xmlns:a16="http://schemas.microsoft.com/office/drawing/2014/main" id="{00000000-0008-0000-0200-00000B000000}"/>
            </a:ext>
          </a:extLst>
        </xdr:cNvPr>
        <xdr:cNvSpPr txBox="1">
          <a:spLocks noChangeAspect="1"/>
        </xdr:cNvSpPr>
      </xdr:nvSpPr>
      <xdr:spPr>
        <a:xfrm>
          <a:off x="343366" y="425451"/>
          <a:ext cx="1714034" cy="409472"/>
        </a:xfrm>
        <a:prstGeom prst="rect">
          <a:avLst/>
        </a:prstGeom>
        <a:solidFill>
          <a:schemeClr val="tx2">
            <a:lumMod val="75000"/>
          </a:schemeClr>
        </a:solidFill>
        <a:ln>
          <a:noFill/>
        </a:ln>
      </xdr:spPr>
      <xdr:style>
        <a:lnRef idx="2">
          <a:schemeClr val="accent3">
            <a:shade val="50000"/>
          </a:schemeClr>
        </a:lnRef>
        <a:fillRef idx="1">
          <a:schemeClr val="accent3"/>
        </a:fillRef>
        <a:effectRef idx="0">
          <a:schemeClr val="accent3"/>
        </a:effectRef>
        <a:fontRef idx="minor">
          <a:schemeClr val="lt1"/>
        </a:fontRef>
      </xdr:style>
      <xdr:txBody>
        <a:bodyPr vertOverflow="overflow" horzOverflow="overflow" wrap="none" lIns="0" tIns="0" rIns="0" bIns="0" rtlCol="0" anchor="ctr"/>
        <a:lstStyle/>
        <a:p>
          <a:pPr algn="ctr" rtl="0"/>
          <a:r>
            <a:rPr lang="ja" sz="1100" b="1">
              <a:latin typeface="Meiryo UI" panose="020B0604030504040204" pitchFamily="50" charset="-128"/>
              <a:ea typeface="Meiryo UI" panose="020B0604030504040204" pitchFamily="50" charset="-128"/>
            </a:rPr>
            <a:t>セットアップ</a:t>
          </a:r>
        </a:p>
      </xdr:txBody>
    </xdr:sp>
    <xdr:clientData fPrintsWithSheet="0"/>
  </xdr:twoCellAnchor>
  <xdr:twoCellAnchor editAs="oneCell">
    <xdr:from>
      <xdr:col>1</xdr:col>
      <xdr:colOff>466</xdr:colOff>
      <xdr:row>1</xdr:row>
      <xdr:rowOff>6351</xdr:rowOff>
    </xdr:from>
    <xdr:to>
      <xdr:col>1</xdr:col>
      <xdr:colOff>1162050</xdr:colOff>
      <xdr:row>1</xdr:row>
      <xdr:rowOff>283846</xdr:rowOff>
    </xdr:to>
    <xdr:sp macro="" textlink="">
      <xdr:nvSpPr>
        <xdr:cNvPr id="12" name="セットアップ ボタン" descr="セットアップのナビゲーション ボタンクリックしてセットアップ ワークシートを表示します。" title="ナビゲーション ボタン - セットアップ">
          <a:hlinkClick xmlns:r="http://schemas.openxmlformats.org/officeDocument/2006/relationships" r:id="rId1" tooltip="クリックしてセットアップを表示"/>
          <a:extLst>
            <a:ext uri="{FF2B5EF4-FFF2-40B4-BE49-F238E27FC236}">
              <a16:creationId xmlns:a16="http://schemas.microsoft.com/office/drawing/2014/main" id="{00000000-0008-0000-0200-00000C000000}"/>
            </a:ext>
          </a:extLst>
        </xdr:cNvPr>
        <xdr:cNvSpPr txBox="1">
          <a:spLocks noChangeAspect="1"/>
        </xdr:cNvSpPr>
      </xdr:nvSpPr>
      <xdr:spPr>
        <a:xfrm>
          <a:off x="343366" y="425451"/>
          <a:ext cx="1161584" cy="277495"/>
        </a:xfrm>
        <a:prstGeom prst="rect">
          <a:avLst/>
        </a:prstGeom>
        <a:solidFill>
          <a:schemeClr val="tx2">
            <a:lumMod val="75000"/>
          </a:schemeClr>
        </a:solidFill>
        <a:ln>
          <a:noFill/>
        </a:ln>
      </xdr:spPr>
      <xdr:style>
        <a:lnRef idx="2">
          <a:schemeClr val="accent3">
            <a:shade val="50000"/>
          </a:schemeClr>
        </a:lnRef>
        <a:fillRef idx="1">
          <a:schemeClr val="accent3"/>
        </a:fillRef>
        <a:effectRef idx="0">
          <a:schemeClr val="accent3"/>
        </a:effectRef>
        <a:fontRef idx="minor">
          <a:schemeClr val="lt1"/>
        </a:fontRef>
      </xdr:style>
      <xdr:txBody>
        <a:bodyPr vertOverflow="overflow" horzOverflow="overflow" wrap="none" lIns="0" tIns="0" rIns="0" bIns="0" rtlCol="0" anchor="ctr"/>
        <a:lstStyle/>
        <a:p>
          <a:pPr algn="ctr" rtl="0"/>
          <a:r>
            <a:rPr lang="ja" sz="1100" b="1">
              <a:latin typeface="Meiryo UI" panose="020B0604030504040204" pitchFamily="50" charset="-128"/>
              <a:ea typeface="Meiryo UI" panose="020B0604030504040204" pitchFamily="50" charset="-128"/>
            </a:rPr>
            <a:t>セットアップ</a:t>
          </a:r>
        </a:p>
      </xdr:txBody>
    </xdr:sp>
    <xdr:clientData fPrintsWithSheet="0"/>
  </xdr:twoCellAnchor>
  <xdr:twoCellAnchor editAs="oneCell">
    <xdr:from>
      <xdr:col>1</xdr:col>
      <xdr:colOff>466</xdr:colOff>
      <xdr:row>1</xdr:row>
      <xdr:rowOff>6351</xdr:rowOff>
    </xdr:from>
    <xdr:to>
      <xdr:col>2</xdr:col>
      <xdr:colOff>2722</xdr:colOff>
      <xdr:row>1</xdr:row>
      <xdr:rowOff>415823</xdr:rowOff>
    </xdr:to>
    <xdr:sp macro="" textlink="">
      <xdr:nvSpPr>
        <xdr:cNvPr id="13" name="セットアップ ボタン" descr="セットアップのナビゲーション ボタンクリックしてセットアップ ワークシートを表示します。" title="ナビゲーション ボタン - セットアップ">
          <a:hlinkClick xmlns:r="http://schemas.openxmlformats.org/officeDocument/2006/relationships" r:id="rId1" tooltip="クリックしてセットアップを表示"/>
          <a:extLst>
            <a:ext uri="{FF2B5EF4-FFF2-40B4-BE49-F238E27FC236}">
              <a16:creationId xmlns:a16="http://schemas.microsoft.com/office/drawing/2014/main" id="{00000000-0008-0000-0200-00000D000000}"/>
            </a:ext>
          </a:extLst>
        </xdr:cNvPr>
        <xdr:cNvSpPr txBox="1">
          <a:spLocks noChangeAspect="1"/>
        </xdr:cNvSpPr>
      </xdr:nvSpPr>
      <xdr:spPr>
        <a:xfrm>
          <a:off x="343366" y="425451"/>
          <a:ext cx="1714034" cy="409472"/>
        </a:xfrm>
        <a:prstGeom prst="rect">
          <a:avLst/>
        </a:prstGeom>
        <a:solidFill>
          <a:schemeClr val="tx2">
            <a:lumMod val="75000"/>
          </a:schemeClr>
        </a:solidFill>
        <a:ln>
          <a:noFill/>
        </a:ln>
      </xdr:spPr>
      <xdr:style>
        <a:lnRef idx="2">
          <a:schemeClr val="accent3">
            <a:shade val="50000"/>
          </a:schemeClr>
        </a:lnRef>
        <a:fillRef idx="1">
          <a:schemeClr val="accent3"/>
        </a:fillRef>
        <a:effectRef idx="0">
          <a:schemeClr val="accent3"/>
        </a:effectRef>
        <a:fontRef idx="minor">
          <a:schemeClr val="lt1"/>
        </a:fontRef>
      </xdr:style>
      <xdr:txBody>
        <a:bodyPr vertOverflow="overflow" horzOverflow="overflow" wrap="none" lIns="0" tIns="0" rIns="0" bIns="0" rtlCol="0" anchor="ctr"/>
        <a:lstStyle/>
        <a:p>
          <a:pPr algn="ctr" rtl="0"/>
          <a:r>
            <a:rPr lang="ja" sz="1100" b="1">
              <a:latin typeface="Meiryo UI" panose="020B0604030504040204" pitchFamily="50" charset="-128"/>
              <a:ea typeface="Meiryo UI" panose="020B0604030504040204" pitchFamily="50" charset="-128"/>
            </a:rPr>
            <a:t>セットアップ</a:t>
          </a:r>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oneCell">
    <xdr:from>
      <xdr:col>1</xdr:col>
      <xdr:colOff>466</xdr:colOff>
      <xdr:row>1</xdr:row>
      <xdr:rowOff>6351</xdr:rowOff>
    </xdr:from>
    <xdr:to>
      <xdr:col>1</xdr:col>
      <xdr:colOff>1162050</xdr:colOff>
      <xdr:row>1</xdr:row>
      <xdr:rowOff>283846</xdr:rowOff>
    </xdr:to>
    <xdr:sp macro="" textlink="">
      <xdr:nvSpPr>
        <xdr:cNvPr id="5" name="セットアップ ボタン" descr="セットアップのナビゲーション ボタンクリックしてセットアップ ワークシートを表示します。" title="ナビゲーション ボタン - セットアップ">
          <a:hlinkClick xmlns:r="http://schemas.openxmlformats.org/officeDocument/2006/relationships" r:id="rId1" tooltip="クリックしてセットアップを表示"/>
          <a:extLst>
            <a:ext uri="{FF2B5EF4-FFF2-40B4-BE49-F238E27FC236}">
              <a16:creationId xmlns:a16="http://schemas.microsoft.com/office/drawing/2014/main" id="{00000000-0008-0000-0300-000005000000}"/>
            </a:ext>
          </a:extLst>
        </xdr:cNvPr>
        <xdr:cNvSpPr txBox="1">
          <a:spLocks noChangeAspect="1"/>
        </xdr:cNvSpPr>
      </xdr:nvSpPr>
      <xdr:spPr>
        <a:xfrm>
          <a:off x="257641" y="425451"/>
          <a:ext cx="1161584" cy="277495"/>
        </a:xfrm>
        <a:prstGeom prst="rect">
          <a:avLst/>
        </a:prstGeom>
        <a:solidFill>
          <a:schemeClr val="tx2">
            <a:lumMod val="75000"/>
          </a:schemeClr>
        </a:solidFill>
        <a:ln>
          <a:noFill/>
        </a:ln>
      </xdr:spPr>
      <xdr:style>
        <a:lnRef idx="2">
          <a:schemeClr val="accent3">
            <a:shade val="50000"/>
          </a:schemeClr>
        </a:lnRef>
        <a:fillRef idx="1">
          <a:schemeClr val="accent3"/>
        </a:fillRef>
        <a:effectRef idx="0">
          <a:schemeClr val="accent3"/>
        </a:effectRef>
        <a:fontRef idx="minor">
          <a:schemeClr val="lt1"/>
        </a:fontRef>
      </xdr:style>
      <xdr:txBody>
        <a:bodyPr vertOverflow="overflow" horzOverflow="overflow" wrap="none" lIns="0" tIns="0" rIns="0" bIns="0" rtlCol="0" anchor="ctr"/>
        <a:lstStyle/>
        <a:p>
          <a:pPr algn="ctr" rtl="0"/>
          <a:r>
            <a:rPr lang="ja" sz="1100" b="1">
              <a:latin typeface="Meiryo UI" panose="020B0604030504040204" pitchFamily="50" charset="-128"/>
              <a:ea typeface="Meiryo UI" panose="020B0604030504040204" pitchFamily="50" charset="-128"/>
            </a:rPr>
            <a:t>セットアップ</a:t>
          </a:r>
        </a:p>
      </xdr:txBody>
    </xdr:sp>
    <xdr:clientData fPrintsWithSheet="0"/>
  </xdr:twoCellAnchor>
  <xdr:twoCellAnchor editAs="oneCell">
    <xdr:from>
      <xdr:col>1</xdr:col>
      <xdr:colOff>466</xdr:colOff>
      <xdr:row>1</xdr:row>
      <xdr:rowOff>6351</xdr:rowOff>
    </xdr:from>
    <xdr:to>
      <xdr:col>2</xdr:col>
      <xdr:colOff>2722</xdr:colOff>
      <xdr:row>1</xdr:row>
      <xdr:rowOff>415823</xdr:rowOff>
    </xdr:to>
    <xdr:sp macro="" textlink="">
      <xdr:nvSpPr>
        <xdr:cNvPr id="6" name="セットアップ ボタン" descr="セットアップのナビゲーション ボタンクリックしてセットアップ ワークシートを表示します。" title="ナビゲーション ボタン - セットアップ">
          <a:hlinkClick xmlns:r="http://schemas.openxmlformats.org/officeDocument/2006/relationships" r:id="rId1" tooltip="クリックしてセットアップを表示"/>
          <a:extLst>
            <a:ext uri="{FF2B5EF4-FFF2-40B4-BE49-F238E27FC236}">
              <a16:creationId xmlns:a16="http://schemas.microsoft.com/office/drawing/2014/main" id="{00000000-0008-0000-0300-000006000000}"/>
            </a:ext>
          </a:extLst>
        </xdr:cNvPr>
        <xdr:cNvSpPr txBox="1">
          <a:spLocks noChangeAspect="1"/>
        </xdr:cNvSpPr>
      </xdr:nvSpPr>
      <xdr:spPr>
        <a:xfrm>
          <a:off x="340645" y="428172"/>
          <a:ext cx="1714034" cy="409472"/>
        </a:xfrm>
        <a:prstGeom prst="rect">
          <a:avLst/>
        </a:prstGeom>
        <a:solidFill>
          <a:schemeClr val="tx2">
            <a:lumMod val="75000"/>
          </a:schemeClr>
        </a:solidFill>
        <a:ln>
          <a:noFill/>
        </a:ln>
      </xdr:spPr>
      <xdr:style>
        <a:lnRef idx="2">
          <a:schemeClr val="accent3">
            <a:shade val="50000"/>
          </a:schemeClr>
        </a:lnRef>
        <a:fillRef idx="1">
          <a:schemeClr val="accent3"/>
        </a:fillRef>
        <a:effectRef idx="0">
          <a:schemeClr val="accent3"/>
        </a:effectRef>
        <a:fontRef idx="minor">
          <a:schemeClr val="lt1"/>
        </a:fontRef>
      </xdr:style>
      <xdr:txBody>
        <a:bodyPr vertOverflow="overflow" horzOverflow="overflow" wrap="none" lIns="0" tIns="0" rIns="0" bIns="0" rtlCol="0" anchor="ctr"/>
        <a:lstStyle/>
        <a:p>
          <a:pPr algn="ctr" rtl="0"/>
          <a:r>
            <a:rPr lang="ja" sz="1100" b="1">
              <a:latin typeface="Meiryo UI" panose="020B0604030504040204" pitchFamily="50" charset="-128"/>
              <a:ea typeface="Meiryo UI" panose="020B0604030504040204" pitchFamily="50" charset="-128"/>
            </a:rPr>
            <a:t>セットアップ</a:t>
          </a:r>
        </a:p>
      </xdr:txBody>
    </xdr:sp>
    <xdr:clientData fPrintsWithSheet="0"/>
  </xdr:twoCellAnchor>
  <xdr:twoCellAnchor editAs="oneCell">
    <xdr:from>
      <xdr:col>1</xdr:col>
      <xdr:colOff>466</xdr:colOff>
      <xdr:row>1</xdr:row>
      <xdr:rowOff>6351</xdr:rowOff>
    </xdr:from>
    <xdr:to>
      <xdr:col>1</xdr:col>
      <xdr:colOff>1162050</xdr:colOff>
      <xdr:row>1</xdr:row>
      <xdr:rowOff>283846</xdr:rowOff>
    </xdr:to>
    <xdr:sp macro="" textlink="">
      <xdr:nvSpPr>
        <xdr:cNvPr id="7" name="セットアップ ボタン" descr="セットアップのナビゲーション ボタンクリックしてセットアップ ワークシートを表示します。" title="ナビゲーション ボタン - セットアップ">
          <a:hlinkClick xmlns:r="http://schemas.openxmlformats.org/officeDocument/2006/relationships" r:id="rId1" tooltip="クリックしてセットアップを表示"/>
          <a:extLst>
            <a:ext uri="{FF2B5EF4-FFF2-40B4-BE49-F238E27FC236}">
              <a16:creationId xmlns:a16="http://schemas.microsoft.com/office/drawing/2014/main" id="{00000000-0008-0000-0300-000007000000}"/>
            </a:ext>
          </a:extLst>
        </xdr:cNvPr>
        <xdr:cNvSpPr txBox="1">
          <a:spLocks noChangeAspect="1"/>
        </xdr:cNvSpPr>
      </xdr:nvSpPr>
      <xdr:spPr>
        <a:xfrm>
          <a:off x="343366" y="425451"/>
          <a:ext cx="1161584" cy="277495"/>
        </a:xfrm>
        <a:prstGeom prst="rect">
          <a:avLst/>
        </a:prstGeom>
        <a:solidFill>
          <a:schemeClr val="tx2">
            <a:lumMod val="75000"/>
          </a:schemeClr>
        </a:solidFill>
        <a:ln>
          <a:noFill/>
        </a:ln>
      </xdr:spPr>
      <xdr:style>
        <a:lnRef idx="2">
          <a:schemeClr val="accent3">
            <a:shade val="50000"/>
          </a:schemeClr>
        </a:lnRef>
        <a:fillRef idx="1">
          <a:schemeClr val="accent3"/>
        </a:fillRef>
        <a:effectRef idx="0">
          <a:schemeClr val="accent3"/>
        </a:effectRef>
        <a:fontRef idx="minor">
          <a:schemeClr val="lt1"/>
        </a:fontRef>
      </xdr:style>
      <xdr:txBody>
        <a:bodyPr vertOverflow="overflow" horzOverflow="overflow" wrap="none" lIns="0" tIns="0" rIns="0" bIns="0" rtlCol="0" anchor="ctr"/>
        <a:lstStyle/>
        <a:p>
          <a:pPr algn="ctr" rtl="0"/>
          <a:r>
            <a:rPr lang="ja" sz="1100" b="1">
              <a:latin typeface="Meiryo UI" panose="020B0604030504040204" pitchFamily="50" charset="-128"/>
              <a:ea typeface="Meiryo UI" panose="020B0604030504040204" pitchFamily="50" charset="-128"/>
            </a:rPr>
            <a:t>セットアップ</a:t>
          </a:r>
        </a:p>
      </xdr:txBody>
    </xdr:sp>
    <xdr:clientData fPrintsWithSheet="0"/>
  </xdr:twoCellAnchor>
  <xdr:twoCellAnchor editAs="oneCell">
    <xdr:from>
      <xdr:col>1</xdr:col>
      <xdr:colOff>466</xdr:colOff>
      <xdr:row>1</xdr:row>
      <xdr:rowOff>6351</xdr:rowOff>
    </xdr:from>
    <xdr:to>
      <xdr:col>2</xdr:col>
      <xdr:colOff>2722</xdr:colOff>
      <xdr:row>1</xdr:row>
      <xdr:rowOff>415823</xdr:rowOff>
    </xdr:to>
    <xdr:sp macro="" textlink="">
      <xdr:nvSpPr>
        <xdr:cNvPr id="8" name="セットアップ ボタン" descr="セットアップのナビゲーション ボタンクリックしてセットアップ ワークシートを表示します。" title="ナビゲーション ボタン - セットアップ">
          <a:hlinkClick xmlns:r="http://schemas.openxmlformats.org/officeDocument/2006/relationships" r:id="rId1" tooltip="クリックしてセットアップを表示"/>
          <a:extLst>
            <a:ext uri="{FF2B5EF4-FFF2-40B4-BE49-F238E27FC236}">
              <a16:creationId xmlns:a16="http://schemas.microsoft.com/office/drawing/2014/main" id="{00000000-0008-0000-0300-000008000000}"/>
            </a:ext>
          </a:extLst>
        </xdr:cNvPr>
        <xdr:cNvSpPr txBox="1">
          <a:spLocks noChangeAspect="1"/>
        </xdr:cNvSpPr>
      </xdr:nvSpPr>
      <xdr:spPr>
        <a:xfrm>
          <a:off x="343366" y="425451"/>
          <a:ext cx="1714034" cy="409472"/>
        </a:xfrm>
        <a:prstGeom prst="rect">
          <a:avLst/>
        </a:prstGeom>
        <a:solidFill>
          <a:schemeClr val="tx2">
            <a:lumMod val="75000"/>
          </a:schemeClr>
        </a:solidFill>
        <a:ln>
          <a:noFill/>
        </a:ln>
      </xdr:spPr>
      <xdr:style>
        <a:lnRef idx="2">
          <a:schemeClr val="accent3">
            <a:shade val="50000"/>
          </a:schemeClr>
        </a:lnRef>
        <a:fillRef idx="1">
          <a:schemeClr val="accent3"/>
        </a:fillRef>
        <a:effectRef idx="0">
          <a:schemeClr val="accent3"/>
        </a:effectRef>
        <a:fontRef idx="minor">
          <a:schemeClr val="lt1"/>
        </a:fontRef>
      </xdr:style>
      <xdr:txBody>
        <a:bodyPr vertOverflow="overflow" horzOverflow="overflow" wrap="none" lIns="0" tIns="0" rIns="0" bIns="0" rtlCol="0" anchor="ctr"/>
        <a:lstStyle/>
        <a:p>
          <a:pPr algn="ctr" rtl="0"/>
          <a:r>
            <a:rPr lang="ja" sz="1100" b="1">
              <a:latin typeface="Meiryo UI" panose="020B0604030504040204" pitchFamily="50" charset="-128"/>
              <a:ea typeface="Meiryo UI" panose="020B0604030504040204" pitchFamily="50" charset="-128"/>
            </a:rPr>
            <a:t>セットアップ</a:t>
          </a:r>
        </a:p>
      </xdr:txBody>
    </xdr:sp>
    <xdr:clientData fPrintsWithSheet="0"/>
  </xdr:twoCellAnchor>
  <xdr:twoCellAnchor editAs="oneCell">
    <xdr:from>
      <xdr:col>1</xdr:col>
      <xdr:colOff>466</xdr:colOff>
      <xdr:row>1</xdr:row>
      <xdr:rowOff>6351</xdr:rowOff>
    </xdr:from>
    <xdr:to>
      <xdr:col>1</xdr:col>
      <xdr:colOff>1162050</xdr:colOff>
      <xdr:row>1</xdr:row>
      <xdr:rowOff>283846</xdr:rowOff>
    </xdr:to>
    <xdr:sp macro="" textlink="">
      <xdr:nvSpPr>
        <xdr:cNvPr id="9" name="セットアップ ボタン" descr="セットアップのナビゲーション ボタンクリックしてセットアップ ワークシートを表示します。" title="ナビゲーション ボタン - セットアップ">
          <a:hlinkClick xmlns:r="http://schemas.openxmlformats.org/officeDocument/2006/relationships" r:id="rId1" tooltip="クリックしてセットアップを表示"/>
          <a:extLst>
            <a:ext uri="{FF2B5EF4-FFF2-40B4-BE49-F238E27FC236}">
              <a16:creationId xmlns:a16="http://schemas.microsoft.com/office/drawing/2014/main" id="{00000000-0008-0000-0300-000009000000}"/>
            </a:ext>
          </a:extLst>
        </xdr:cNvPr>
        <xdr:cNvSpPr txBox="1">
          <a:spLocks noChangeAspect="1"/>
        </xdr:cNvSpPr>
      </xdr:nvSpPr>
      <xdr:spPr>
        <a:xfrm>
          <a:off x="343366" y="425451"/>
          <a:ext cx="1161584" cy="277495"/>
        </a:xfrm>
        <a:prstGeom prst="rect">
          <a:avLst/>
        </a:prstGeom>
        <a:solidFill>
          <a:schemeClr val="tx2">
            <a:lumMod val="75000"/>
          </a:schemeClr>
        </a:solidFill>
        <a:ln>
          <a:noFill/>
        </a:ln>
      </xdr:spPr>
      <xdr:style>
        <a:lnRef idx="2">
          <a:schemeClr val="accent3">
            <a:shade val="50000"/>
          </a:schemeClr>
        </a:lnRef>
        <a:fillRef idx="1">
          <a:schemeClr val="accent3"/>
        </a:fillRef>
        <a:effectRef idx="0">
          <a:schemeClr val="accent3"/>
        </a:effectRef>
        <a:fontRef idx="minor">
          <a:schemeClr val="lt1"/>
        </a:fontRef>
      </xdr:style>
      <xdr:txBody>
        <a:bodyPr vertOverflow="overflow" horzOverflow="overflow" wrap="none" lIns="0" tIns="0" rIns="0" bIns="0" rtlCol="0" anchor="ctr"/>
        <a:lstStyle/>
        <a:p>
          <a:pPr algn="ctr" rtl="0"/>
          <a:r>
            <a:rPr lang="ja" sz="1100" b="1">
              <a:latin typeface="Meiryo UI" panose="020B0604030504040204" pitchFamily="50" charset="-128"/>
              <a:ea typeface="Meiryo UI" panose="020B0604030504040204" pitchFamily="50" charset="-128"/>
            </a:rPr>
            <a:t>セットアップ</a:t>
          </a:r>
        </a:p>
      </xdr:txBody>
    </xdr:sp>
    <xdr:clientData fPrintsWithSheet="0"/>
  </xdr:twoCellAnchor>
  <xdr:twoCellAnchor editAs="oneCell">
    <xdr:from>
      <xdr:col>1</xdr:col>
      <xdr:colOff>466</xdr:colOff>
      <xdr:row>1</xdr:row>
      <xdr:rowOff>6351</xdr:rowOff>
    </xdr:from>
    <xdr:to>
      <xdr:col>2</xdr:col>
      <xdr:colOff>2722</xdr:colOff>
      <xdr:row>1</xdr:row>
      <xdr:rowOff>415823</xdr:rowOff>
    </xdr:to>
    <xdr:sp macro="" textlink="">
      <xdr:nvSpPr>
        <xdr:cNvPr id="10" name="セットアップ ボタン" descr="セットアップのナビゲーション ボタンクリックしてセットアップ ワークシートを表示します。" title="ナビゲーション ボタン - セットアップ">
          <a:hlinkClick xmlns:r="http://schemas.openxmlformats.org/officeDocument/2006/relationships" r:id="rId1" tooltip="クリックしてセットアップを表示"/>
          <a:extLst>
            <a:ext uri="{FF2B5EF4-FFF2-40B4-BE49-F238E27FC236}">
              <a16:creationId xmlns:a16="http://schemas.microsoft.com/office/drawing/2014/main" id="{00000000-0008-0000-0300-00000A000000}"/>
            </a:ext>
          </a:extLst>
        </xdr:cNvPr>
        <xdr:cNvSpPr txBox="1">
          <a:spLocks noChangeAspect="1"/>
        </xdr:cNvSpPr>
      </xdr:nvSpPr>
      <xdr:spPr>
        <a:xfrm>
          <a:off x="343366" y="425451"/>
          <a:ext cx="1714034" cy="409472"/>
        </a:xfrm>
        <a:prstGeom prst="rect">
          <a:avLst/>
        </a:prstGeom>
        <a:solidFill>
          <a:schemeClr val="tx2">
            <a:lumMod val="75000"/>
          </a:schemeClr>
        </a:solidFill>
        <a:ln>
          <a:noFill/>
        </a:ln>
      </xdr:spPr>
      <xdr:style>
        <a:lnRef idx="2">
          <a:schemeClr val="accent3">
            <a:shade val="50000"/>
          </a:schemeClr>
        </a:lnRef>
        <a:fillRef idx="1">
          <a:schemeClr val="accent3"/>
        </a:fillRef>
        <a:effectRef idx="0">
          <a:schemeClr val="accent3"/>
        </a:effectRef>
        <a:fontRef idx="minor">
          <a:schemeClr val="lt1"/>
        </a:fontRef>
      </xdr:style>
      <xdr:txBody>
        <a:bodyPr vertOverflow="overflow" horzOverflow="overflow" wrap="none" lIns="0" tIns="0" rIns="0" bIns="0" rtlCol="0" anchor="ctr"/>
        <a:lstStyle/>
        <a:p>
          <a:pPr algn="ctr" rtl="0"/>
          <a:r>
            <a:rPr lang="ja" sz="1100" b="1">
              <a:latin typeface="Meiryo UI" panose="020B0604030504040204" pitchFamily="50" charset="-128"/>
              <a:ea typeface="Meiryo UI" panose="020B0604030504040204" pitchFamily="50" charset="-128"/>
            </a:rPr>
            <a:t>セットアップ</a:t>
          </a:r>
        </a:p>
      </xdr:txBody>
    </xdr:sp>
    <xdr:clientData fPrintsWithSheet="0"/>
  </xdr:twoCellAnchor>
  <xdr:twoCellAnchor editAs="oneCell">
    <xdr:from>
      <xdr:col>1</xdr:col>
      <xdr:colOff>466</xdr:colOff>
      <xdr:row>1</xdr:row>
      <xdr:rowOff>6351</xdr:rowOff>
    </xdr:from>
    <xdr:to>
      <xdr:col>1</xdr:col>
      <xdr:colOff>1162050</xdr:colOff>
      <xdr:row>1</xdr:row>
      <xdr:rowOff>283846</xdr:rowOff>
    </xdr:to>
    <xdr:sp macro="" textlink="">
      <xdr:nvSpPr>
        <xdr:cNvPr id="11" name="セットアップ ボタン" descr="セットアップのナビゲーション ボタンクリックしてセットアップ ワークシートを表示します。" title="ナビゲーション ボタン - セットアップ">
          <a:hlinkClick xmlns:r="http://schemas.openxmlformats.org/officeDocument/2006/relationships" r:id="rId1" tooltip="クリックしてセットアップを表示"/>
          <a:extLst>
            <a:ext uri="{FF2B5EF4-FFF2-40B4-BE49-F238E27FC236}">
              <a16:creationId xmlns:a16="http://schemas.microsoft.com/office/drawing/2014/main" id="{00000000-0008-0000-0300-00000B000000}"/>
            </a:ext>
          </a:extLst>
        </xdr:cNvPr>
        <xdr:cNvSpPr txBox="1">
          <a:spLocks noChangeAspect="1"/>
        </xdr:cNvSpPr>
      </xdr:nvSpPr>
      <xdr:spPr>
        <a:xfrm>
          <a:off x="343366" y="425451"/>
          <a:ext cx="1161584" cy="277495"/>
        </a:xfrm>
        <a:prstGeom prst="rect">
          <a:avLst/>
        </a:prstGeom>
        <a:solidFill>
          <a:schemeClr val="tx2">
            <a:lumMod val="75000"/>
          </a:schemeClr>
        </a:solidFill>
        <a:ln>
          <a:noFill/>
        </a:ln>
      </xdr:spPr>
      <xdr:style>
        <a:lnRef idx="2">
          <a:schemeClr val="accent3">
            <a:shade val="50000"/>
          </a:schemeClr>
        </a:lnRef>
        <a:fillRef idx="1">
          <a:schemeClr val="accent3"/>
        </a:fillRef>
        <a:effectRef idx="0">
          <a:schemeClr val="accent3"/>
        </a:effectRef>
        <a:fontRef idx="minor">
          <a:schemeClr val="lt1"/>
        </a:fontRef>
      </xdr:style>
      <xdr:txBody>
        <a:bodyPr vertOverflow="overflow" horzOverflow="overflow" wrap="none" lIns="0" tIns="0" rIns="0" bIns="0" rtlCol="0" anchor="ctr"/>
        <a:lstStyle/>
        <a:p>
          <a:pPr algn="ctr" rtl="0"/>
          <a:r>
            <a:rPr lang="ja" sz="1100" b="1">
              <a:latin typeface="Meiryo UI" panose="020B0604030504040204" pitchFamily="50" charset="-128"/>
              <a:ea typeface="Meiryo UI" panose="020B0604030504040204" pitchFamily="50" charset="-128"/>
            </a:rPr>
            <a:t>セットアップ</a:t>
          </a:r>
        </a:p>
      </xdr:txBody>
    </xdr:sp>
    <xdr:clientData fPrintsWithSheet="0"/>
  </xdr:twoCellAnchor>
  <xdr:twoCellAnchor editAs="oneCell">
    <xdr:from>
      <xdr:col>1</xdr:col>
      <xdr:colOff>466</xdr:colOff>
      <xdr:row>1</xdr:row>
      <xdr:rowOff>6351</xdr:rowOff>
    </xdr:from>
    <xdr:to>
      <xdr:col>2</xdr:col>
      <xdr:colOff>2722</xdr:colOff>
      <xdr:row>1</xdr:row>
      <xdr:rowOff>415823</xdr:rowOff>
    </xdr:to>
    <xdr:sp macro="" textlink="">
      <xdr:nvSpPr>
        <xdr:cNvPr id="12" name="セットアップ ボタン" descr="セットアップのナビゲーション ボタンクリックしてセットアップ ワークシートを表示します。" title="ナビゲーション ボタン - セットアップ">
          <a:hlinkClick xmlns:r="http://schemas.openxmlformats.org/officeDocument/2006/relationships" r:id="rId1" tooltip="クリックしてセットアップを表示"/>
          <a:extLst>
            <a:ext uri="{FF2B5EF4-FFF2-40B4-BE49-F238E27FC236}">
              <a16:creationId xmlns:a16="http://schemas.microsoft.com/office/drawing/2014/main" id="{00000000-0008-0000-0300-00000C000000}"/>
            </a:ext>
          </a:extLst>
        </xdr:cNvPr>
        <xdr:cNvSpPr txBox="1">
          <a:spLocks noChangeAspect="1"/>
        </xdr:cNvSpPr>
      </xdr:nvSpPr>
      <xdr:spPr>
        <a:xfrm>
          <a:off x="343366" y="425451"/>
          <a:ext cx="1714034" cy="409472"/>
        </a:xfrm>
        <a:prstGeom prst="rect">
          <a:avLst/>
        </a:prstGeom>
        <a:solidFill>
          <a:schemeClr val="tx2">
            <a:lumMod val="75000"/>
          </a:schemeClr>
        </a:solidFill>
        <a:ln>
          <a:noFill/>
        </a:ln>
      </xdr:spPr>
      <xdr:style>
        <a:lnRef idx="2">
          <a:schemeClr val="accent3">
            <a:shade val="50000"/>
          </a:schemeClr>
        </a:lnRef>
        <a:fillRef idx="1">
          <a:schemeClr val="accent3"/>
        </a:fillRef>
        <a:effectRef idx="0">
          <a:schemeClr val="accent3"/>
        </a:effectRef>
        <a:fontRef idx="minor">
          <a:schemeClr val="lt1"/>
        </a:fontRef>
      </xdr:style>
      <xdr:txBody>
        <a:bodyPr vertOverflow="overflow" horzOverflow="overflow" wrap="none" lIns="0" tIns="0" rIns="0" bIns="0" rtlCol="0" anchor="ctr"/>
        <a:lstStyle/>
        <a:p>
          <a:pPr algn="ctr" rtl="0"/>
          <a:r>
            <a:rPr lang="ja" sz="1100" b="1">
              <a:latin typeface="Meiryo UI" panose="020B0604030504040204" pitchFamily="50" charset="-128"/>
              <a:ea typeface="Meiryo UI" panose="020B0604030504040204" pitchFamily="50" charset="-128"/>
            </a:rPr>
            <a:t>セットアップ</a:t>
          </a:r>
        </a:p>
      </xdr:txBody>
    </xdr:sp>
    <xdr:clientData fPrintsWithSheet="0"/>
  </xdr:twoCellAnchor>
</xdr:wsDr>
</file>

<file path=xl/drawings/drawing5.xml><?xml version="1.0" encoding="utf-8"?>
<xdr:wsDr xmlns:xdr="http://schemas.openxmlformats.org/drawingml/2006/spreadsheetDrawing" xmlns:a="http://schemas.openxmlformats.org/drawingml/2006/main">
  <xdr:twoCellAnchor editAs="oneCell">
    <xdr:from>
      <xdr:col>1</xdr:col>
      <xdr:colOff>466</xdr:colOff>
      <xdr:row>1</xdr:row>
      <xdr:rowOff>6351</xdr:rowOff>
    </xdr:from>
    <xdr:to>
      <xdr:col>5</xdr:col>
      <xdr:colOff>57150</xdr:colOff>
      <xdr:row>2</xdr:row>
      <xdr:rowOff>112396</xdr:rowOff>
    </xdr:to>
    <xdr:sp macro="" textlink="">
      <xdr:nvSpPr>
        <xdr:cNvPr id="2" name="セットアップ ボタン" descr="セットアップのナビゲーション ボタンクリックしてセットアップ ワークシートを表示します。" title="ナビゲーション ボタン - セットアップ">
          <a:hlinkClick xmlns:r="http://schemas.openxmlformats.org/officeDocument/2006/relationships" r:id="rId1" tooltip="クリックしてセットアップを表示"/>
          <a:extLst>
            <a:ext uri="{FF2B5EF4-FFF2-40B4-BE49-F238E27FC236}">
              <a16:creationId xmlns:a16="http://schemas.microsoft.com/office/drawing/2014/main" id="{00000000-0008-0000-0400-000002000000}"/>
            </a:ext>
          </a:extLst>
        </xdr:cNvPr>
        <xdr:cNvSpPr txBox="1">
          <a:spLocks noChangeAspect="1"/>
        </xdr:cNvSpPr>
      </xdr:nvSpPr>
      <xdr:spPr>
        <a:xfrm>
          <a:off x="343366" y="425451"/>
          <a:ext cx="6419384" cy="525145"/>
        </a:xfrm>
        <a:prstGeom prst="rect">
          <a:avLst/>
        </a:prstGeom>
        <a:solidFill>
          <a:schemeClr val="tx2">
            <a:lumMod val="75000"/>
          </a:schemeClr>
        </a:solidFill>
        <a:ln>
          <a:noFill/>
        </a:ln>
      </xdr:spPr>
      <xdr:style>
        <a:lnRef idx="2">
          <a:schemeClr val="accent3">
            <a:shade val="50000"/>
          </a:schemeClr>
        </a:lnRef>
        <a:fillRef idx="1">
          <a:schemeClr val="accent3"/>
        </a:fillRef>
        <a:effectRef idx="0">
          <a:schemeClr val="accent3"/>
        </a:effectRef>
        <a:fontRef idx="minor">
          <a:schemeClr val="lt1"/>
        </a:fontRef>
      </xdr:style>
      <xdr:txBody>
        <a:bodyPr vertOverflow="overflow" horzOverflow="overflow" wrap="none" lIns="0" tIns="0" rIns="0" bIns="0" rtlCol="0" anchor="ctr"/>
        <a:lstStyle/>
        <a:p>
          <a:pPr algn="ctr" rtl="0"/>
          <a:r>
            <a:rPr lang="ja" sz="1100" b="1">
              <a:latin typeface="Meiryo UI" panose="020B0604030504040204" pitchFamily="50" charset="-128"/>
              <a:ea typeface="Meiryo UI" panose="020B0604030504040204" pitchFamily="50" charset="-128"/>
            </a:rPr>
            <a:t>セットアップ</a:t>
          </a:r>
        </a:p>
      </xdr:txBody>
    </xdr:sp>
    <xdr:clientData fPrintsWithSheet="0"/>
  </xdr:twoCellAnchor>
  <xdr:twoCellAnchor editAs="oneCell">
    <xdr:from>
      <xdr:col>1</xdr:col>
      <xdr:colOff>466</xdr:colOff>
      <xdr:row>1</xdr:row>
      <xdr:rowOff>6351</xdr:rowOff>
    </xdr:from>
    <xdr:to>
      <xdr:col>1</xdr:col>
      <xdr:colOff>1162050</xdr:colOff>
      <xdr:row>1</xdr:row>
      <xdr:rowOff>283846</xdr:rowOff>
    </xdr:to>
    <xdr:sp macro="" textlink="">
      <xdr:nvSpPr>
        <xdr:cNvPr id="3" name="セットアップ ボタン" descr="セットアップのナビゲーション ボタンクリックしてセットアップ ワークシートを表示します。" title="ナビゲーション ボタン - セットアップ">
          <a:hlinkClick xmlns:r="http://schemas.openxmlformats.org/officeDocument/2006/relationships" r:id="rId1" tooltip="クリックしてセットアップを表示"/>
          <a:extLst>
            <a:ext uri="{FF2B5EF4-FFF2-40B4-BE49-F238E27FC236}">
              <a16:creationId xmlns:a16="http://schemas.microsoft.com/office/drawing/2014/main" id="{00000000-0008-0000-0400-000003000000}"/>
            </a:ext>
          </a:extLst>
        </xdr:cNvPr>
        <xdr:cNvSpPr txBox="1">
          <a:spLocks noChangeAspect="1"/>
        </xdr:cNvSpPr>
      </xdr:nvSpPr>
      <xdr:spPr>
        <a:xfrm>
          <a:off x="343366" y="425451"/>
          <a:ext cx="1161584" cy="277495"/>
        </a:xfrm>
        <a:prstGeom prst="rect">
          <a:avLst/>
        </a:prstGeom>
        <a:solidFill>
          <a:schemeClr val="tx2">
            <a:lumMod val="75000"/>
          </a:schemeClr>
        </a:solidFill>
        <a:ln>
          <a:noFill/>
        </a:ln>
      </xdr:spPr>
      <xdr:style>
        <a:lnRef idx="2">
          <a:schemeClr val="accent3">
            <a:shade val="50000"/>
          </a:schemeClr>
        </a:lnRef>
        <a:fillRef idx="1">
          <a:schemeClr val="accent3"/>
        </a:fillRef>
        <a:effectRef idx="0">
          <a:schemeClr val="accent3"/>
        </a:effectRef>
        <a:fontRef idx="minor">
          <a:schemeClr val="lt1"/>
        </a:fontRef>
      </xdr:style>
      <xdr:txBody>
        <a:bodyPr vertOverflow="overflow" horzOverflow="overflow" wrap="none" lIns="0" tIns="0" rIns="0" bIns="0" rtlCol="0" anchor="ctr"/>
        <a:lstStyle/>
        <a:p>
          <a:pPr algn="ctr" rtl="0"/>
          <a:r>
            <a:rPr lang="ja" sz="1100" b="1">
              <a:latin typeface="Meiryo UI" panose="020B0604030504040204" pitchFamily="50" charset="-128"/>
              <a:ea typeface="Meiryo UI" panose="020B0604030504040204" pitchFamily="50" charset="-128"/>
            </a:rPr>
            <a:t>セットアップ</a:t>
          </a:r>
        </a:p>
      </xdr:txBody>
    </xdr:sp>
    <xdr:clientData fPrintsWithSheet="0"/>
  </xdr:twoCellAnchor>
  <xdr:twoCellAnchor editAs="oneCell">
    <xdr:from>
      <xdr:col>1</xdr:col>
      <xdr:colOff>466</xdr:colOff>
      <xdr:row>1</xdr:row>
      <xdr:rowOff>6351</xdr:rowOff>
    </xdr:from>
    <xdr:to>
      <xdr:col>1</xdr:col>
      <xdr:colOff>1162050</xdr:colOff>
      <xdr:row>1</xdr:row>
      <xdr:rowOff>283846</xdr:rowOff>
    </xdr:to>
    <xdr:sp macro="" textlink="">
      <xdr:nvSpPr>
        <xdr:cNvPr id="4" name="セットアップ ボタン" descr="セットアップのナビゲーション ボタンクリックしてセットアップ ワークシートを表示します。" title="ナビゲーション ボタン - セットアップ">
          <a:hlinkClick xmlns:r="http://schemas.openxmlformats.org/officeDocument/2006/relationships" r:id="rId1" tooltip="クリックしてセットアップを表示"/>
          <a:extLst>
            <a:ext uri="{FF2B5EF4-FFF2-40B4-BE49-F238E27FC236}">
              <a16:creationId xmlns:a16="http://schemas.microsoft.com/office/drawing/2014/main" id="{00000000-0008-0000-0400-000004000000}"/>
            </a:ext>
          </a:extLst>
        </xdr:cNvPr>
        <xdr:cNvSpPr txBox="1">
          <a:spLocks noChangeAspect="1"/>
        </xdr:cNvSpPr>
      </xdr:nvSpPr>
      <xdr:spPr>
        <a:xfrm>
          <a:off x="343366" y="425451"/>
          <a:ext cx="1161584" cy="277495"/>
        </a:xfrm>
        <a:prstGeom prst="rect">
          <a:avLst/>
        </a:prstGeom>
        <a:solidFill>
          <a:schemeClr val="tx2">
            <a:lumMod val="75000"/>
          </a:schemeClr>
        </a:solidFill>
        <a:ln>
          <a:noFill/>
        </a:ln>
      </xdr:spPr>
      <xdr:style>
        <a:lnRef idx="2">
          <a:schemeClr val="accent3">
            <a:shade val="50000"/>
          </a:schemeClr>
        </a:lnRef>
        <a:fillRef idx="1">
          <a:schemeClr val="accent3"/>
        </a:fillRef>
        <a:effectRef idx="0">
          <a:schemeClr val="accent3"/>
        </a:effectRef>
        <a:fontRef idx="minor">
          <a:schemeClr val="lt1"/>
        </a:fontRef>
      </xdr:style>
      <xdr:txBody>
        <a:bodyPr vertOverflow="overflow" horzOverflow="overflow" wrap="none" lIns="0" tIns="0" rIns="0" bIns="0" rtlCol="0" anchor="ctr"/>
        <a:lstStyle/>
        <a:p>
          <a:pPr algn="ctr" rtl="0"/>
          <a:r>
            <a:rPr lang="ja" sz="1100" b="1">
              <a:latin typeface="Meiryo UI" panose="020B0604030504040204" pitchFamily="50" charset="-128"/>
              <a:ea typeface="Meiryo UI" panose="020B0604030504040204" pitchFamily="50" charset="-128"/>
            </a:rPr>
            <a:t>セットアップ</a:t>
          </a:r>
        </a:p>
      </xdr:txBody>
    </xdr:sp>
    <xdr:clientData fPrintsWithSheet="0"/>
  </xdr:twoCellAnchor>
</xdr:wsDr>
</file>

<file path=xl/drawings/drawing6.xml><?xml version="1.0" encoding="utf-8"?>
<xdr:wsDr xmlns:xdr="http://schemas.openxmlformats.org/drawingml/2006/spreadsheetDrawing" xmlns:a="http://schemas.openxmlformats.org/drawingml/2006/main">
  <xdr:twoCellAnchor editAs="oneCell">
    <xdr:from>
      <xdr:col>0</xdr:col>
      <xdr:colOff>181934</xdr:colOff>
      <xdr:row>1</xdr:row>
      <xdr:rowOff>6351</xdr:rowOff>
    </xdr:from>
    <xdr:to>
      <xdr:col>1</xdr:col>
      <xdr:colOff>1114425</xdr:colOff>
      <xdr:row>2</xdr:row>
      <xdr:rowOff>82550</xdr:rowOff>
    </xdr:to>
    <xdr:sp macro="" textlink="">
      <xdr:nvSpPr>
        <xdr:cNvPr id="2" name="プロジェクトのボタン" descr="プロジェクトのナビゲーション ボタン。クリックしてプロジェクト ワークシートを表示します。" title="ナビゲーション ボタン - プロジェクト">
          <a:hlinkClick xmlns:r="http://schemas.openxmlformats.org/officeDocument/2006/relationships" r:id="rId1" tooltip="クリックしてプロジェクトを表示"/>
          <a:extLst>
            <a:ext uri="{FF2B5EF4-FFF2-40B4-BE49-F238E27FC236}">
              <a16:creationId xmlns:a16="http://schemas.microsoft.com/office/drawing/2014/main" id="{00000000-0008-0000-0500-000002000000}"/>
            </a:ext>
          </a:extLst>
        </xdr:cNvPr>
        <xdr:cNvSpPr txBox="1">
          <a:spLocks noChangeAspect="1"/>
        </xdr:cNvSpPr>
      </xdr:nvSpPr>
      <xdr:spPr>
        <a:xfrm>
          <a:off x="181934" y="825501"/>
          <a:ext cx="1132516" cy="276224"/>
        </a:xfrm>
        <a:prstGeom prst="rect">
          <a:avLst/>
        </a:prstGeom>
        <a:solidFill>
          <a:schemeClr val="tx2">
            <a:lumMod val="50000"/>
          </a:schemeClr>
        </a:solidFill>
        <a:ln>
          <a:noFill/>
        </a:ln>
      </xdr:spPr>
      <xdr:style>
        <a:lnRef idx="2">
          <a:schemeClr val="accent3">
            <a:shade val="50000"/>
          </a:schemeClr>
        </a:lnRef>
        <a:fillRef idx="1">
          <a:schemeClr val="accent3"/>
        </a:fillRef>
        <a:effectRef idx="0">
          <a:schemeClr val="accent3"/>
        </a:effectRef>
        <a:fontRef idx="minor">
          <a:schemeClr val="lt1"/>
        </a:fontRef>
      </xdr:style>
      <xdr:txBody>
        <a:bodyPr vertOverflow="overflow" horzOverflow="overflow" wrap="none" lIns="0" tIns="0" rIns="0" bIns="0" rtlCol="0" anchor="ctr"/>
        <a:lstStyle/>
        <a:p>
          <a:pPr algn="ctr" rtl="0"/>
          <a:r>
            <a:rPr lang="ja" sz="1100" b="1">
              <a:latin typeface="Meiryo UI" panose="020B0604030504040204" pitchFamily="50" charset="-128"/>
              <a:ea typeface="Meiryo UI" panose="020B0604030504040204" pitchFamily="50" charset="-128"/>
            </a:rPr>
            <a:t>プロジェクト</a:t>
          </a:r>
        </a:p>
      </xdr:txBody>
    </xdr:sp>
    <xdr:clientData fPrintsWithSheet="0"/>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12503;&#12525;&#12472;&#12455;&#12463;&#12488;&#31649;&#29702;&#12471;&#12540;&#12488;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プロジェクト管理シート"/>
      <sheetName val="セットアップ"/>
      <sheetName val="プロジェクト管理シート1"/>
    </sheetNames>
    <sheetDataSet>
      <sheetData sheetId="0" refreshError="1">
        <row r="2">
          <cell r="D2">
            <v>0.25</v>
          </cell>
        </row>
        <row r="5">
          <cell r="E5">
            <v>43898</v>
          </cell>
          <cell r="F5">
            <v>43958</v>
          </cell>
          <cell r="I5">
            <v>43898</v>
          </cell>
          <cell r="J5">
            <v>43963</v>
          </cell>
        </row>
        <row r="6">
          <cell r="E6">
            <v>43922</v>
          </cell>
          <cell r="F6">
            <v>43953</v>
          </cell>
          <cell r="I6">
            <v>43922</v>
          </cell>
          <cell r="J6">
            <v>43956</v>
          </cell>
        </row>
        <row r="7">
          <cell r="E7">
            <v>43863</v>
          </cell>
          <cell r="F7">
            <v>43923</v>
          </cell>
          <cell r="I7">
            <v>43863</v>
          </cell>
          <cell r="J7">
            <v>43936</v>
          </cell>
        </row>
        <row r="8">
          <cell r="E8">
            <v>43873</v>
          </cell>
          <cell r="F8">
            <v>43883</v>
          </cell>
          <cell r="I8">
            <v>43873</v>
          </cell>
          <cell r="J8">
            <v>43892</v>
          </cell>
        </row>
        <row r="9">
          <cell r="E9">
            <v>43873</v>
          </cell>
          <cell r="F9">
            <v>43913</v>
          </cell>
          <cell r="I9">
            <v>43873</v>
          </cell>
          <cell r="J9">
            <v>43919</v>
          </cell>
        </row>
        <row r="10">
          <cell r="E10">
            <v>43903</v>
          </cell>
          <cell r="F10">
            <v>43913</v>
          </cell>
          <cell r="I10">
            <v>43903</v>
          </cell>
          <cell r="J10">
            <v>43918</v>
          </cell>
        </row>
        <row r="11">
          <cell r="E11">
            <v>43919</v>
          </cell>
          <cell r="F11">
            <v>43943</v>
          </cell>
          <cell r="I11">
            <v>43919</v>
          </cell>
          <cell r="J11">
            <v>43948</v>
          </cell>
        </row>
        <row r="12">
          <cell r="E12">
            <v>43924</v>
          </cell>
          <cell r="F12">
            <v>43963</v>
          </cell>
          <cell r="I12">
            <v>43918</v>
          </cell>
          <cell r="J12">
            <v>43958</v>
          </cell>
        </row>
        <row r="13">
          <cell r="E13">
            <v>42405</v>
          </cell>
          <cell r="F13">
            <v>42530</v>
          </cell>
          <cell r="I13">
            <v>42434</v>
          </cell>
          <cell r="J13">
            <v>42495</v>
          </cell>
        </row>
      </sheetData>
      <sheetData sheetId="1" refreshError="1">
        <row r="5">
          <cell r="B5" t="str">
            <v>カテゴリ 1</v>
          </cell>
          <cell r="C5" t="str">
            <v>従業員 1</v>
          </cell>
        </row>
        <row r="6">
          <cell r="B6" t="str">
            <v>カテゴリ 2</v>
          </cell>
          <cell r="C6" t="str">
            <v>従業員 2</v>
          </cell>
        </row>
        <row r="7">
          <cell r="B7" t="str">
            <v>カテゴリ 3</v>
          </cell>
          <cell r="C7" t="str">
            <v>従業員 3</v>
          </cell>
        </row>
        <row r="8">
          <cell r="B8" t="str">
            <v>カテゴリ 4</v>
          </cell>
          <cell r="C8" t="str">
            <v>従業員 4</v>
          </cell>
        </row>
        <row r="9">
          <cell r="B9" t="str">
            <v>カテゴリ 5</v>
          </cell>
          <cell r="C9" t="str">
            <v>従業員 5</v>
          </cell>
        </row>
        <row r="10">
          <cell r="B10" t="str">
            <v>カテゴリ 6</v>
          </cell>
          <cell r="C10" t="str">
            <v>従業員 6</v>
          </cell>
        </row>
      </sheetData>
      <sheetData sheetId="2"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0000000}" name="プロジェクト管理シート310117" displayName="プロジェクト管理シート310117" ref="B4:O7" totalsRowShown="0" headerRowDxfId="73" tableBorderDxfId="72">
  <autoFilter ref="B4:O7" xr:uid="{00000000-0009-0000-0100-000006000000}"/>
  <tableColumns count="14">
    <tableColumn id="1" xr3:uid="{00000000-0010-0000-0000-000001000000}" name="プロジェクト" dataDxfId="71" dataCellStyle="テキスト"/>
    <tableColumn id="2" xr3:uid="{00000000-0010-0000-0000-000002000000}" name="カテゴリ" dataDxfId="70" dataCellStyle="テキスト"/>
    <tableColumn id="3" xr3:uid="{00000000-0010-0000-0000-000003000000}" name="担当者" dataDxfId="69" dataCellStyle="テキスト"/>
    <tableColumn id="4" xr3:uid="{00000000-0010-0000-0000-000004000000}" name="予定開始日" dataDxfId="68" dataCellStyle="日付"/>
    <tableColumn id="5" xr3:uid="{00000000-0010-0000-0000-000005000000}" name="予定終了日" dataDxfId="67" dataCellStyle="日付"/>
    <tableColumn id="6" xr3:uid="{00000000-0010-0000-0000-000006000000}" name="見積もり作業時間" dataDxfId="66" dataCellStyle="数値"/>
    <tableColumn id="7" xr3:uid="{00000000-0010-0000-0000-000007000000}" name="見積もり期間 (日数)" dataDxfId="65" dataCellStyle="見積もり期間"/>
    <tableColumn id="8" xr3:uid="{00000000-0010-0000-0000-000008000000}" name="実績_x000a_開始日" dataDxfId="64" dataCellStyle="実績開始日"/>
    <tableColumn id="9" xr3:uid="{00000000-0010-0000-0000-000009000000}" name="実績_x000a_終了日" dataDxfId="63" dataCellStyle="日付"/>
    <tableColumn id="10" xr3:uid="{00000000-0010-0000-0000-00000A000000}" name="超過/過少実績作業時間のフラグ アイコン" dataDxfId="62" dataCellStyle="フラグ"/>
    <tableColumn id="11" xr3:uid="{00000000-0010-0000-0000-00000B000000}" name="実績作業時間" dataDxfId="61" dataCellStyle="数値"/>
    <tableColumn id="12" xr3:uid="{00000000-0010-0000-0000-00000C000000}" name="超過/過少実績期間 (日数) のフラグ アイコン" dataDxfId="60" dataCellStyle="フラグ"/>
    <tableColumn id="13" xr3:uid="{00000000-0010-0000-0000-00000D000000}" name="実績期間 (日数)" dataDxfId="59" dataCellStyle="灰色の列"/>
    <tableColumn id="14" xr3:uid="{00000000-0010-0000-0000-00000E000000}" name="メモ" dataDxfId="58" dataCellStyle="テキスト"/>
  </tableColumns>
  <tableStyleInfo name="ユーザー設定の表スタイル 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1000000}" name="プロジェクト管理シート31011" displayName="プロジェクト管理シート31011" ref="B4:O7" totalsRowShown="0" headerRowDxfId="55" tableBorderDxfId="54">
  <autoFilter ref="B4:O7" xr:uid="{00000000-0009-0000-0100-000007000000}"/>
  <tableColumns count="14">
    <tableColumn id="1" xr3:uid="{00000000-0010-0000-0100-000001000000}" name="プロジェクト" dataDxfId="53" dataCellStyle="テキスト"/>
    <tableColumn id="2" xr3:uid="{00000000-0010-0000-0100-000002000000}" name="カテゴリ" dataDxfId="52" dataCellStyle="テキスト"/>
    <tableColumn id="3" xr3:uid="{00000000-0010-0000-0100-000003000000}" name="担当者" dataDxfId="51" dataCellStyle="テキスト"/>
    <tableColumn id="4" xr3:uid="{00000000-0010-0000-0100-000004000000}" name="予定開始日" dataDxfId="50" dataCellStyle="日付"/>
    <tableColumn id="5" xr3:uid="{00000000-0010-0000-0100-000005000000}" name="予定終了日" dataDxfId="49" dataCellStyle="日付"/>
    <tableColumn id="6" xr3:uid="{00000000-0010-0000-0100-000006000000}" name="見積もり作業時間" dataDxfId="48" dataCellStyle="数値"/>
    <tableColumn id="7" xr3:uid="{00000000-0010-0000-0100-000007000000}" name="見積もり期間 (日数)" dataDxfId="47" dataCellStyle="見積もり期間"/>
    <tableColumn id="8" xr3:uid="{00000000-0010-0000-0100-000008000000}" name="実績_x000a_開始日" dataDxfId="46" dataCellStyle="実績開始日"/>
    <tableColumn id="9" xr3:uid="{00000000-0010-0000-0100-000009000000}" name="実績_x000a_終了日" dataDxfId="45" dataCellStyle="日付"/>
    <tableColumn id="10" xr3:uid="{00000000-0010-0000-0100-00000A000000}" name="超過/過少実績作業時間のフラグ アイコン" dataDxfId="44" dataCellStyle="フラグ"/>
    <tableColumn id="11" xr3:uid="{00000000-0010-0000-0100-00000B000000}" name="実績作業時間" dataDxfId="43" dataCellStyle="数値"/>
    <tableColumn id="12" xr3:uid="{00000000-0010-0000-0100-00000C000000}" name="超過/過少実績期間 (日数) のフラグ アイコン" dataDxfId="42" dataCellStyle="フラグ"/>
    <tableColumn id="13" xr3:uid="{00000000-0010-0000-0100-00000D000000}" name="実績期間 (日数)" dataDxfId="41" dataCellStyle="灰色の列"/>
    <tableColumn id="14" xr3:uid="{00000000-0010-0000-0100-00000E000000}" name="メモ" dataDxfId="40" dataCellStyle="テキスト"/>
  </tableColumns>
  <tableStyleInfo name="ユーザー設定の表スタイル 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2000000}" name="プロジェクト管理シート310119" displayName="プロジェクト管理シート310119" ref="B4:O7" totalsRowShown="0" headerRowDxfId="37" tableBorderDxfId="36">
  <autoFilter ref="B4:O7" xr:uid="{00000000-0009-0000-0100-000008000000}"/>
  <tableColumns count="14">
    <tableColumn id="1" xr3:uid="{00000000-0010-0000-0200-000001000000}" name="プロジェクト" dataDxfId="35" dataCellStyle="テキスト"/>
    <tableColumn id="2" xr3:uid="{00000000-0010-0000-0200-000002000000}" name="カテゴリ" dataDxfId="34" dataCellStyle="テキスト"/>
    <tableColumn id="3" xr3:uid="{00000000-0010-0000-0200-000003000000}" name="担当者" dataDxfId="33" dataCellStyle="テキスト"/>
    <tableColumn id="4" xr3:uid="{00000000-0010-0000-0200-000004000000}" name="予定開始日" dataDxfId="32" dataCellStyle="日付"/>
    <tableColumn id="5" xr3:uid="{00000000-0010-0000-0200-000005000000}" name="予定終了日" dataDxfId="31" dataCellStyle="日付"/>
    <tableColumn id="6" xr3:uid="{00000000-0010-0000-0200-000006000000}" name="見積もり作業時間" dataDxfId="30" dataCellStyle="数値"/>
    <tableColumn id="7" xr3:uid="{00000000-0010-0000-0200-000007000000}" name="見積もり期間 (日数)" dataDxfId="29" dataCellStyle="見積もり期間"/>
    <tableColumn id="8" xr3:uid="{00000000-0010-0000-0200-000008000000}" name="実績_x000a_開始日" dataDxfId="28" dataCellStyle="実績開始日"/>
    <tableColumn id="9" xr3:uid="{00000000-0010-0000-0200-000009000000}" name="実績_x000a_終了日" dataDxfId="27" dataCellStyle="日付"/>
    <tableColumn id="10" xr3:uid="{00000000-0010-0000-0200-00000A000000}" name="超過/過少実績作業時間のフラグ アイコン" dataDxfId="26" dataCellStyle="フラグ"/>
    <tableColumn id="11" xr3:uid="{00000000-0010-0000-0200-00000B000000}" name="実績作業時間" dataDxfId="25" dataCellStyle="数値"/>
    <tableColumn id="12" xr3:uid="{00000000-0010-0000-0200-00000C000000}" name="超過/過少実績期間 (日数) のフラグ アイコン" dataDxfId="24" dataCellStyle="フラグ"/>
    <tableColumn id="13" xr3:uid="{00000000-0010-0000-0200-00000D000000}" name="実績期間 (日数)" dataDxfId="23" dataCellStyle="灰色の列"/>
    <tableColumn id="14" xr3:uid="{00000000-0010-0000-0200-00000E000000}" name="メモ" dataDxfId="22" dataCellStyle="テキスト"/>
  </tableColumns>
  <tableStyleInfo name="ユーザー設定の表スタイル 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3000000}" name="プロジェクト管理シート32" displayName="プロジェクト管理シート32" ref="B4:O13" totalsRowShown="0" headerRowDxfId="19" tableBorderDxfId="18">
  <autoFilter ref="B4:O13" xr:uid="{00000000-0009-0000-0100-000001000000}"/>
  <tableColumns count="14">
    <tableColumn id="1" xr3:uid="{00000000-0010-0000-0300-000001000000}" name="プロジェクト" dataDxfId="17" dataCellStyle="テキスト"/>
    <tableColumn id="2" xr3:uid="{00000000-0010-0000-0300-000002000000}" name="カテゴリ" dataDxfId="16" dataCellStyle="テキスト"/>
    <tableColumn id="3" xr3:uid="{00000000-0010-0000-0300-000003000000}" name="担当者" dataDxfId="15" dataCellStyle="テキスト"/>
    <tableColumn id="4" xr3:uid="{00000000-0010-0000-0300-000004000000}" name="予定開始日" dataDxfId="14" dataCellStyle="日付"/>
    <tableColumn id="5" xr3:uid="{00000000-0010-0000-0300-000005000000}" name="予定終了日" dataDxfId="13" dataCellStyle="日付"/>
    <tableColumn id="6" xr3:uid="{00000000-0010-0000-0300-000006000000}" name="見積もり作業時間" dataDxfId="12" dataCellStyle="数値"/>
    <tableColumn id="7" xr3:uid="{00000000-0010-0000-0300-000007000000}" name="見積もり期間 (日数)" dataDxfId="11" dataCellStyle="見積もり期間"/>
    <tableColumn id="8" xr3:uid="{00000000-0010-0000-0300-000008000000}" name="実績_x000a_開始日" dataDxfId="10" dataCellStyle="実績開始日"/>
    <tableColumn id="9" xr3:uid="{00000000-0010-0000-0300-000009000000}" name="実績_x000a_終了日" dataDxfId="9" dataCellStyle="日付"/>
    <tableColumn id="10" xr3:uid="{00000000-0010-0000-0300-00000A000000}" name="超過/過少実績作業時間のフラグ アイコン" dataDxfId="8" dataCellStyle="フラグ"/>
    <tableColumn id="11" xr3:uid="{00000000-0010-0000-0300-00000B000000}" name="実績作業時間" dataDxfId="7" dataCellStyle="数値"/>
    <tableColumn id="12" xr3:uid="{00000000-0010-0000-0300-00000C000000}" name="超過/過少実績期間 (日数) のフラグ アイコン" dataDxfId="6" dataCellStyle="フラグ"/>
    <tableColumn id="13" xr3:uid="{00000000-0010-0000-0300-00000D000000}" name="実績期間 (日数)" dataDxfId="5" dataCellStyle="灰色の列"/>
    <tableColumn id="14" xr3:uid="{00000000-0010-0000-0300-00000E000000}" name="メモ" dataDxfId="4" dataCellStyle="テキスト"/>
  </tableColumns>
  <tableStyleInfo name="ユーザー設定の表スタイル 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4000000}" name="CategoryAndEmployeeTable" displayName="CategoryAndEmployeeTable" ref="B4:C10" totalsRowShown="0" headerRowDxfId="3" dataDxfId="2">
  <autoFilter ref="B4:C10" xr:uid="{00000000-0009-0000-0100-000003000000}"/>
  <tableColumns count="2">
    <tableColumn id="1" xr3:uid="{00000000-0010-0000-0400-000001000000}" name="カテゴリ名" dataDxfId="1"/>
    <tableColumn id="2" xr3:uid="{00000000-0010-0000-0400-000002000000}" name="従業員名" dataDxfId="0"/>
  </tableColumns>
  <tableStyleInfo name="ユーザー設定の表スタイル 3" showFirstColumn="0" showLastColumn="0" showRowStripes="1" showColumnStripes="0"/>
  <extLst>
    <ext xmlns:x14="http://schemas.microsoft.com/office/spreadsheetml/2009/9/main" uri="{504A1905-F514-4f6f-8877-14C23A59335A}">
      <x14:table altTextSummary="プロジェクト管理ワークシートでカテゴリと従業員のデータ検証ドロップダウン選択リストに使用されるカテゴリと従業員のリストです。これらの列を使用して各リストの項目をカスタマイズします。リストの項目数が同じである必要はありません。"/>
    </ext>
  </extLst>
</table>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5.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2:T43"/>
  <sheetViews>
    <sheetView topLeftCell="A25" workbookViewId="0">
      <selection activeCell="U46" sqref="U46"/>
    </sheetView>
  </sheetViews>
  <sheetFormatPr defaultColWidth="3.6328125" defaultRowHeight="13" x14ac:dyDescent="0.2"/>
  <cols>
    <col min="1" max="16384" width="3.6328125" style="1"/>
  </cols>
  <sheetData>
    <row r="2" spans="2:20" ht="19" x14ac:dyDescent="0.3">
      <c r="B2" s="2" t="s">
        <v>4</v>
      </c>
    </row>
    <row r="5" spans="2:20" x14ac:dyDescent="0.2">
      <c r="D5" s="27" t="s">
        <v>2</v>
      </c>
      <c r="E5" s="27"/>
      <c r="F5" s="27"/>
      <c r="G5" s="27"/>
      <c r="H5" s="27"/>
      <c r="I5" s="27"/>
      <c r="J5" s="27"/>
      <c r="O5" s="28" t="s">
        <v>3</v>
      </c>
      <c r="P5" s="28"/>
      <c r="Q5" s="28"/>
      <c r="R5" s="28"/>
      <c r="S5" s="28"/>
      <c r="T5" s="28"/>
    </row>
    <row r="6" spans="2:20" x14ac:dyDescent="0.2">
      <c r="D6" s="27"/>
      <c r="E6" s="27"/>
      <c r="F6" s="27"/>
      <c r="G6" s="27"/>
      <c r="H6" s="27"/>
      <c r="I6" s="27"/>
      <c r="J6" s="27"/>
      <c r="O6" s="28"/>
      <c r="P6" s="28"/>
      <c r="Q6" s="28"/>
      <c r="R6" s="28"/>
      <c r="S6" s="28"/>
      <c r="T6" s="28"/>
    </row>
    <row r="7" spans="2:20" x14ac:dyDescent="0.2">
      <c r="D7" s="27"/>
      <c r="E7" s="27"/>
      <c r="F7" s="27"/>
      <c r="G7" s="27"/>
      <c r="H7" s="27"/>
      <c r="I7" s="27"/>
      <c r="J7" s="27"/>
      <c r="O7" s="28"/>
      <c r="P7" s="28"/>
      <c r="Q7" s="28"/>
      <c r="R7" s="28"/>
      <c r="S7" s="28"/>
      <c r="T7" s="28"/>
    </row>
    <row r="8" spans="2:20" x14ac:dyDescent="0.2">
      <c r="D8" s="27"/>
      <c r="E8" s="27"/>
      <c r="F8" s="27"/>
      <c r="G8" s="27"/>
      <c r="H8" s="27"/>
      <c r="I8" s="27"/>
      <c r="J8" s="27"/>
      <c r="O8" s="28"/>
      <c r="P8" s="28"/>
      <c r="Q8" s="28"/>
      <c r="R8" s="28"/>
      <c r="S8" s="28"/>
      <c r="T8" s="28"/>
    </row>
    <row r="9" spans="2:20" x14ac:dyDescent="0.2">
      <c r="O9" s="28"/>
      <c r="P9" s="28"/>
      <c r="Q9" s="28"/>
      <c r="R9" s="28"/>
      <c r="S9" s="28"/>
      <c r="T9" s="28"/>
    </row>
    <row r="10" spans="2:20" x14ac:dyDescent="0.2">
      <c r="D10" s="27" t="s">
        <v>0</v>
      </c>
      <c r="E10" s="27"/>
      <c r="F10" s="27"/>
      <c r="G10" s="27"/>
      <c r="H10" s="27"/>
      <c r="I10" s="27"/>
      <c r="J10" s="27"/>
      <c r="O10" s="28"/>
      <c r="P10" s="28"/>
      <c r="Q10" s="28"/>
      <c r="R10" s="28"/>
      <c r="S10" s="28"/>
      <c r="T10" s="28"/>
    </row>
    <row r="11" spans="2:20" x14ac:dyDescent="0.2">
      <c r="D11" s="27"/>
      <c r="E11" s="27"/>
      <c r="F11" s="27"/>
      <c r="G11" s="27"/>
      <c r="H11" s="27"/>
      <c r="I11" s="27"/>
      <c r="J11" s="27"/>
      <c r="O11" s="28"/>
      <c r="P11" s="28"/>
      <c r="Q11" s="28"/>
      <c r="R11" s="28"/>
      <c r="S11" s="28"/>
      <c r="T11" s="28"/>
    </row>
    <row r="12" spans="2:20" x14ac:dyDescent="0.2">
      <c r="D12" s="27"/>
      <c r="E12" s="27"/>
      <c r="F12" s="27"/>
      <c r="G12" s="27"/>
      <c r="H12" s="27"/>
      <c r="I12" s="27"/>
      <c r="J12" s="27"/>
      <c r="O12" s="28"/>
      <c r="P12" s="28"/>
      <c r="Q12" s="28"/>
      <c r="R12" s="28"/>
      <c r="S12" s="28"/>
      <c r="T12" s="28"/>
    </row>
    <row r="13" spans="2:20" x14ac:dyDescent="0.2">
      <c r="D13" s="27"/>
      <c r="E13" s="27"/>
      <c r="F13" s="27"/>
      <c r="G13" s="27"/>
      <c r="H13" s="27"/>
      <c r="I13" s="27"/>
      <c r="J13" s="27"/>
      <c r="O13" s="28"/>
      <c r="P13" s="28"/>
      <c r="Q13" s="28"/>
      <c r="R13" s="28"/>
      <c r="S13" s="28"/>
      <c r="T13" s="28"/>
    </row>
    <row r="14" spans="2:20" x14ac:dyDescent="0.2">
      <c r="O14" s="28"/>
      <c r="P14" s="28"/>
      <c r="Q14" s="28"/>
      <c r="R14" s="28"/>
      <c r="S14" s="28"/>
      <c r="T14" s="28"/>
    </row>
    <row r="15" spans="2:20" x14ac:dyDescent="0.2">
      <c r="D15" s="27" t="s">
        <v>1</v>
      </c>
      <c r="E15" s="27"/>
      <c r="F15" s="27"/>
      <c r="G15" s="27"/>
      <c r="H15" s="27"/>
      <c r="I15" s="27"/>
      <c r="J15" s="27"/>
      <c r="O15" s="28"/>
      <c r="P15" s="28"/>
      <c r="Q15" s="28"/>
      <c r="R15" s="28"/>
      <c r="S15" s="28"/>
      <c r="T15" s="28"/>
    </row>
    <row r="16" spans="2:20" x14ac:dyDescent="0.2">
      <c r="D16" s="27"/>
      <c r="E16" s="27"/>
      <c r="F16" s="27"/>
      <c r="G16" s="27"/>
      <c r="H16" s="27"/>
      <c r="I16" s="27"/>
      <c r="J16" s="27"/>
      <c r="O16" s="28"/>
      <c r="P16" s="28"/>
      <c r="Q16" s="28"/>
      <c r="R16" s="28"/>
      <c r="S16" s="28"/>
      <c r="T16" s="28"/>
    </row>
    <row r="17" spans="2:20" x14ac:dyDescent="0.2">
      <c r="D17" s="27"/>
      <c r="E17" s="27"/>
      <c r="F17" s="27"/>
      <c r="G17" s="27"/>
      <c r="H17" s="27"/>
      <c r="I17" s="27"/>
      <c r="J17" s="27"/>
      <c r="O17" s="28"/>
      <c r="P17" s="28"/>
      <c r="Q17" s="28"/>
      <c r="R17" s="28"/>
      <c r="S17" s="28"/>
      <c r="T17" s="28"/>
    </row>
    <row r="18" spans="2:20" x14ac:dyDescent="0.2">
      <c r="D18" s="27"/>
      <c r="E18" s="27"/>
      <c r="F18" s="27"/>
      <c r="G18" s="27"/>
      <c r="H18" s="27"/>
      <c r="I18" s="27"/>
      <c r="J18" s="27"/>
      <c r="O18" s="28"/>
      <c r="P18" s="28"/>
      <c r="Q18" s="28"/>
      <c r="R18" s="28"/>
      <c r="S18" s="28"/>
      <c r="T18" s="28"/>
    </row>
    <row r="21" spans="2:20" ht="19" x14ac:dyDescent="0.3">
      <c r="B21" s="2" t="s">
        <v>5</v>
      </c>
    </row>
    <row r="23" spans="2:20" x14ac:dyDescent="0.2">
      <c r="D23" s="1" t="s">
        <v>6</v>
      </c>
    </row>
    <row r="25" spans="2:20" x14ac:dyDescent="0.2">
      <c r="D25" s="1" t="s">
        <v>7</v>
      </c>
    </row>
    <row r="27" spans="2:20" x14ac:dyDescent="0.2">
      <c r="D27" s="1" t="s">
        <v>8</v>
      </c>
    </row>
    <row r="29" spans="2:20" ht="19" x14ac:dyDescent="0.3">
      <c r="B29" s="2" t="s">
        <v>9</v>
      </c>
    </row>
    <row r="31" spans="2:20" x14ac:dyDescent="0.2">
      <c r="D31" s="1" t="s">
        <v>10</v>
      </c>
    </row>
    <row r="32" spans="2:20" x14ac:dyDescent="0.2">
      <c r="D32" s="1" t="s">
        <v>11</v>
      </c>
    </row>
    <row r="34" spans="2:4" x14ac:dyDescent="0.2">
      <c r="D34" s="1" t="s">
        <v>12</v>
      </c>
    </row>
    <row r="38" spans="2:4" ht="19" x14ac:dyDescent="0.3">
      <c r="B38" s="2" t="s">
        <v>59</v>
      </c>
    </row>
    <row r="39" spans="2:4" x14ac:dyDescent="0.2">
      <c r="B39" s="26"/>
    </row>
    <row r="40" spans="2:4" x14ac:dyDescent="0.2">
      <c r="C40" s="1" t="s">
        <v>61</v>
      </c>
    </row>
    <row r="41" spans="2:4" x14ac:dyDescent="0.2">
      <c r="C41" s="1" t="s">
        <v>60</v>
      </c>
    </row>
    <row r="42" spans="2:4" x14ac:dyDescent="0.2">
      <c r="C42" s="1" t="s">
        <v>62</v>
      </c>
    </row>
    <row r="43" spans="2:4" x14ac:dyDescent="0.2">
      <c r="C43" s="1" t="s">
        <v>63</v>
      </c>
    </row>
  </sheetData>
  <mergeCells count="4">
    <mergeCell ref="D5:J8"/>
    <mergeCell ref="D10:J13"/>
    <mergeCell ref="D15:J18"/>
    <mergeCell ref="O5:T18"/>
  </mergeCells>
  <phoneticPr fontId="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AREA_COPY">
                <anchor moveWithCells="1" sizeWithCells="1">
                  <from>
                    <xdr:col>24</xdr:col>
                    <xdr:colOff>95250</xdr:colOff>
                    <xdr:row>30</xdr:row>
                    <xdr:rowOff>19050</xdr:rowOff>
                  </from>
                  <to>
                    <xdr:col>30</xdr:col>
                    <xdr:colOff>38100</xdr:colOff>
                    <xdr:row>32</xdr:row>
                    <xdr:rowOff>12700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B1:O7"/>
  <sheetViews>
    <sheetView tabSelected="1" zoomScale="70" zoomScaleNormal="70" workbookViewId="0">
      <selection activeCell="C13" sqref="C13"/>
    </sheetView>
  </sheetViews>
  <sheetFormatPr defaultColWidth="3.6328125" defaultRowHeight="15" x14ac:dyDescent="0.2"/>
  <cols>
    <col min="1" max="1" width="4.453125" style="1" customWidth="1"/>
    <col min="2" max="4" width="22.6328125" style="5" customWidth="1"/>
    <col min="5" max="5" width="17.36328125" style="6" customWidth="1"/>
    <col min="6" max="6" width="18.453125" style="6" customWidth="1"/>
    <col min="7" max="7" width="18.36328125" style="5" customWidth="1"/>
    <col min="8" max="8" width="15.453125" style="5" customWidth="1"/>
    <col min="9" max="9" width="18" style="6" customWidth="1"/>
    <col min="10" max="10" width="15.6328125" style="6" customWidth="1"/>
    <col min="11" max="11" width="3.6328125" style="6" customWidth="1"/>
    <col min="12" max="12" width="15.453125" style="5" customWidth="1"/>
    <col min="13" max="13" width="3.7265625" style="5" customWidth="1"/>
    <col min="14" max="14" width="12.7265625" style="5" customWidth="1"/>
    <col min="15" max="15" width="25.6328125" style="5" customWidth="1"/>
    <col min="16" max="16384" width="3.6328125" style="1"/>
  </cols>
  <sheetData>
    <row r="1" spans="2:15" ht="32.5" x14ac:dyDescent="0.2">
      <c r="B1" s="3" t="s">
        <v>32</v>
      </c>
      <c r="C1" s="4"/>
    </row>
    <row r="2" spans="2:15" ht="32.5" x14ac:dyDescent="0.2">
      <c r="B2" s="3"/>
      <c r="C2" s="7" t="s">
        <v>33</v>
      </c>
      <c r="D2" s="8">
        <v>0.25</v>
      </c>
    </row>
    <row r="3" spans="2:15" x14ac:dyDescent="0.2">
      <c r="G3" s="4"/>
      <c r="H3" s="4"/>
    </row>
    <row r="4" spans="2:15" ht="30" x14ac:dyDescent="0.2">
      <c r="B4" s="9" t="s">
        <v>13</v>
      </c>
      <c r="C4" s="9" t="s">
        <v>14</v>
      </c>
      <c r="D4" s="9" t="s">
        <v>15</v>
      </c>
      <c r="E4" s="10" t="s">
        <v>53</v>
      </c>
      <c r="F4" s="10" t="s">
        <v>54</v>
      </c>
      <c r="G4" s="11" t="s">
        <v>55</v>
      </c>
      <c r="H4" s="12" t="s">
        <v>56</v>
      </c>
      <c r="I4" s="17" t="s">
        <v>36</v>
      </c>
      <c r="J4" s="10" t="s">
        <v>37</v>
      </c>
      <c r="K4" s="18" t="s">
        <v>38</v>
      </c>
      <c r="L4" s="11" t="s">
        <v>57</v>
      </c>
      <c r="M4" s="18" t="s">
        <v>39</v>
      </c>
      <c r="N4" s="11" t="s">
        <v>58</v>
      </c>
      <c r="O4" s="9" t="s">
        <v>40</v>
      </c>
    </row>
    <row r="5" spans="2:15" x14ac:dyDescent="0.2">
      <c r="B5" s="13" t="s">
        <v>16</v>
      </c>
      <c r="C5" s="13" t="s">
        <v>17</v>
      </c>
      <c r="D5" s="13" t="s">
        <v>18</v>
      </c>
      <c r="E5" s="14">
        <f ca="1">TODAY()-65</f>
        <v>44169</v>
      </c>
      <c r="F5" s="14">
        <f ca="1">TODAY()-5</f>
        <v>44229</v>
      </c>
      <c r="G5" s="15">
        <v>210</v>
      </c>
      <c r="H5" s="16">
        <f>IF(COUNTA([1]プロジェクト管理シート!$E5,[1]プロジェクト管理シート!$F5)&lt;&gt;2,"",DAYS360([1]プロジェクト管理シート!$E5,[1]プロジェクト管理シート!$F5,FALSE))</f>
        <v>59</v>
      </c>
      <c r="I5" s="19">
        <f ca="1">TODAY()-65</f>
        <v>44169</v>
      </c>
      <c r="J5" s="14">
        <f ca="1">TODAY()</f>
        <v>44234</v>
      </c>
      <c r="K5" s="20" t="s">
        <v>64</v>
      </c>
      <c r="L5" s="15">
        <v>300</v>
      </c>
      <c r="M5" s="20" t="s">
        <v>64</v>
      </c>
      <c r="N5" s="21">
        <f>IF(COUNTA([1]プロジェクト管理シート!$I5,[1]プロジェクト管理シート!$J5)&lt;&gt;2,"",DAYS360([1]プロジェクト管理シート!$I5,[1]プロジェクト管理シート!$J5,FALSE))</f>
        <v>64</v>
      </c>
      <c r="O5" s="13"/>
    </row>
    <row r="6" spans="2:15" x14ac:dyDescent="0.2">
      <c r="B6" s="13" t="s">
        <v>19</v>
      </c>
      <c r="C6" s="13" t="s">
        <v>20</v>
      </c>
      <c r="D6" s="13" t="s">
        <v>21</v>
      </c>
      <c r="E6" s="14">
        <f ca="1">TODAY()-41</f>
        <v>44193</v>
      </c>
      <c r="F6" s="14">
        <f ca="1">TODAY()-10</f>
        <v>44224</v>
      </c>
      <c r="G6" s="15">
        <v>400</v>
      </c>
      <c r="H6" s="16">
        <f>IF(COUNTA([1]プロジェクト管理シート!$E6,[1]プロジェクト管理シート!$F6)&lt;&gt;2,"",DAYS360([1]プロジェクト管理シート!$E6,[1]プロジェクト管理シート!$F6,FALSE))</f>
        <v>31</v>
      </c>
      <c r="I6" s="19">
        <f ca="1">TODAY()-41</f>
        <v>44193</v>
      </c>
      <c r="J6" s="14">
        <f ca="1">TODAY()-7</f>
        <v>44227</v>
      </c>
      <c r="K6" s="20" t="s">
        <v>64</v>
      </c>
      <c r="L6" s="15">
        <v>390</v>
      </c>
      <c r="M6" s="20" t="s">
        <v>64</v>
      </c>
      <c r="N6" s="21">
        <f>IF(COUNTA([1]プロジェクト管理シート!$I6,[1]プロジェクト管理シート!$J6)&lt;&gt;2,"",DAYS360([1]プロジェクト管理シート!$I6,[1]プロジェクト管理シート!$J6,FALSE))</f>
        <v>34</v>
      </c>
      <c r="O6" s="13"/>
    </row>
    <row r="7" spans="2:15" x14ac:dyDescent="0.2">
      <c r="B7" s="13" t="s">
        <v>22</v>
      </c>
      <c r="C7" s="13" t="s">
        <v>17</v>
      </c>
      <c r="D7" s="13" t="s">
        <v>23</v>
      </c>
      <c r="E7" s="14">
        <f ca="1">TODAY()-100</f>
        <v>44134</v>
      </c>
      <c r="F7" s="14">
        <f ca="1">TODAY()-40</f>
        <v>44194</v>
      </c>
      <c r="G7" s="15">
        <v>500</v>
      </c>
      <c r="H7" s="16">
        <f>IF(COUNTA([1]プロジェクト管理シート!$E7,[1]プロジェクト管理シート!$F7)&lt;&gt;2,"",DAYS360([1]プロジェクト管理シート!$E7,[1]プロジェクト管理シート!$F7,FALSE))</f>
        <v>60</v>
      </c>
      <c r="I7" s="19">
        <f ca="1">TODAY()-100</f>
        <v>44134</v>
      </c>
      <c r="J7" s="14">
        <f ca="1">TODAY()-27</f>
        <v>44207</v>
      </c>
      <c r="K7" s="20" t="s">
        <v>64</v>
      </c>
      <c r="L7" s="15">
        <v>500</v>
      </c>
      <c r="M7" s="20" t="s">
        <v>64</v>
      </c>
      <c r="N7" s="21">
        <f>IF(COUNTA([1]プロジェクト管理シート!$I7,[1]プロジェクト管理シート!$J7)&lt;&gt;2,"",DAYS360([1]プロジェクト管理シート!$I7,[1]プロジェクト管理シート!$J7,FALSE))</f>
        <v>73</v>
      </c>
      <c r="O7" s="13"/>
    </row>
  </sheetData>
  <phoneticPr fontId="1"/>
  <conditionalFormatting sqref="L5:L7">
    <cfRule type="expression" dxfId="75" priority="1">
      <formula>(ABS((L5-G5))/G5)&gt;FlagPercent</formula>
    </cfRule>
  </conditionalFormatting>
  <conditionalFormatting sqref="N5:N7">
    <cfRule type="expression" dxfId="74" priority="2">
      <formula>(ABS((N5-H5))/H5)&gt;FlagPercent</formula>
    </cfRule>
  </conditionalFormatting>
  <dataValidations count="17">
    <dataValidation allowBlank="1" showInputMessage="1" showErrorMessage="1" prompt="この列にはプロジェクトの見積もり期間を入力します" sqref="H4" xr:uid="{00000000-0002-0000-0100-000000000000}"/>
    <dataValidation allowBlank="1" showInputMessage="1" showErrorMessage="1" prompt="プロジェクトの見積もり作業時間を入力します。" sqref="G4" xr:uid="{00000000-0002-0000-0100-000001000000}"/>
    <dataValidation allowBlank="1" showInputMessage="1" showErrorMessage="1" prompt="この列にはプロジェクトの見積もり終了日を入力します" sqref="F4" xr:uid="{00000000-0002-0000-0100-000002000000}"/>
    <dataValidation allowBlank="1" showInputMessage="1" showErrorMessage="1" prompt="この列にはプロジェクトの見積もり開始日を入力します" sqref="E4" xr:uid="{00000000-0002-0000-0100-000003000000}"/>
    <dataValidation allowBlank="1" showInputMessage="1" showErrorMessage="1" prompt="この列の各セルでドロップダウン リストから従業員名を選びます。オプションはセットアップ ワークシートで定義されます。Alt キーを押しながら下方向キーを押してリスト内を移動し、Enter キーを押して選択します" sqref="D4" xr:uid="{00000000-0002-0000-0100-000004000000}"/>
    <dataValidation allowBlank="1" showInputMessage="1" showErrorMessage="1" prompt="この列の各セルでドロップダウン リストからカテゴリ名を選びます。このリストのオプションはセットアップ ワークシートで定義されます。Alt キーを押しながら下方向キーを押してリスト内を移動し、Enter キーを押して選択します" sqref="C4" xr:uid="{00000000-0002-0000-0100-000005000000}"/>
    <dataValidation allowBlank="1" showInputMessage="1" showErrorMessage="1" prompt="この列にはプロジェクト名を入力します" sqref="B4" xr:uid="{00000000-0002-0000-0100-000006000000}"/>
    <dataValidation type="list" allowBlank="1" showInputMessage="1" showErrorMessage="1" error="リストからカテゴリを選択するか、セットアップ ワークシートで、このリストに表示する新しいカテゴリを作成します。" sqref="C5:C7" xr:uid="{00000000-0002-0000-0100-000007000000}">
      <formula1>CategoryList</formula1>
    </dataValidation>
    <dataValidation type="list" allowBlank="1" showInputMessage="1" showErrorMessage="1" error="リストから従業員を選択するか、セットアップ ワークシートで、このリストに表示する新しい従業員を作成します。" sqref="D5:D7" xr:uid="{00000000-0002-0000-0100-000008000000}">
      <formula1>EmployeeList</formula1>
    </dataValidation>
    <dataValidation allowBlank="1" showInputMessage="1" showErrorMessage="1" prompt="カスタマイズ可能な超過/過少率。プロジェクト表でこの数字を上回るか下回る実績作業の時間数と日数は強調表示されます" sqref="D2" xr:uid="{00000000-0002-0000-0100-000009000000}"/>
    <dataValidation allowBlank="1" showInputMessage="1" showErrorMessage="1" prompt="この列にはプロジェクトに関するメモを入力します。" sqref="O4" xr:uid="{00000000-0002-0000-0100-00000A000000}"/>
    <dataValidation allowBlank="1" showInputMessage="1" showErrorMessage="1" prompt="プロジェクトの実績期間 (日数) を入力します。超過/過少条件を満たす値は、太字の赤い文字で強調表示され、列 M の左にフラグ アイコンが生成されます" sqref="N4" xr:uid="{00000000-0002-0000-0100-00000B000000}"/>
    <dataValidation allowBlank="1" showInputMessage="1" showErrorMessage="1" prompt="プロジェクトの実績作業時間を入力します。超過/過少条件を満たす値は、太字の赤い文字で強調表示され、列 K の左にフラグ アイコンが生成されます" sqref="L4" xr:uid="{00000000-0002-0000-0100-00000C000000}"/>
    <dataValidation allowBlank="1" showInputMessage="1" showErrorMessage="1" prompt="プロジェクト管理ワークシートで、列 N の超過/過少実績期間 (日数) の値を表す表見出しフラグ アイコン。値が超過/過少条件を満たす場合は、この列の各セルにフラグ アイコンが生成されます。空白セルは値が超過/過少条件を満たしていないことを示します" sqref="M4" xr:uid="{00000000-0002-0000-0100-00000D000000}"/>
    <dataValidation allowBlank="1" showInputMessage="1" showErrorMessage="1" prompt="プロジェクト管理シート表で超過/過少実績作業時間を表す見出しフラグのアイコン。L 列の値が超過/過少条件を満たす場合、この列の各セルにフラグ アイコンが生成されます。空白セルは値が超過/過少条件を満たしていないことを示します" sqref="K4" xr:uid="{00000000-0002-0000-0100-00000E000000}"/>
    <dataValidation allowBlank="1" showInputMessage="1" showErrorMessage="1" prompt="この列にはプロジェクトの実績終了日を入力します" sqref="J4" xr:uid="{00000000-0002-0000-0100-00000F000000}"/>
    <dataValidation allowBlank="1" showInputMessage="1" showErrorMessage="1" prompt="この列にはプロジェクトの実績開始日を入力します" sqref="I4" xr:uid="{00000000-0002-0000-0100-000010000000}"/>
  </dataValidations>
  <pageMargins left="0.7" right="0.7" top="0.75" bottom="0.75" header="0.3" footer="0.3"/>
  <pageSetup paperSize="9" orientation="portrait" r:id="rId1"/>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3" id="{E6FD2848-A189-4A88-B70D-5C1DD5DA2FD6}">
            <x14:iconSet custom="1">
              <x14:cfvo type="percent">
                <xm:f>0</xm:f>
              </x14:cfvo>
              <x14:cfvo type="num">
                <xm:f>0</xm:f>
              </x14:cfvo>
              <x14:cfvo type="num">
                <xm:f>1</xm:f>
              </x14:cfvo>
              <x14:cfIcon iconSet="NoIcons" iconId="0"/>
              <x14:cfIcon iconSet="NoIcons" iconId="0"/>
              <x14:cfIcon iconSet="3Flags" iconId="0"/>
            </x14:iconSet>
          </x14:cfRule>
          <xm:sqref>K5:K7</xm:sqref>
        </x14:conditionalFormatting>
        <x14:conditionalFormatting xmlns:xm="http://schemas.microsoft.com/office/excel/2006/main">
          <x14:cfRule type="iconSet" priority="4" id="{C62D9558-5265-4C18-BD01-A2C83DEA0974}">
            <x14:iconSet custom="1">
              <x14:cfvo type="percent">
                <xm:f>0</xm:f>
              </x14:cfvo>
              <x14:cfvo type="num">
                <xm:f>0</xm:f>
              </x14:cfvo>
              <x14:cfvo type="num">
                <xm:f>1</xm:f>
              </x14:cfvo>
              <x14:cfIcon iconSet="NoIcons" iconId="0"/>
              <x14:cfIcon iconSet="NoIcons" iconId="0"/>
              <x14:cfIcon iconSet="3Flags" iconId="0"/>
            </x14:iconSet>
          </x14:cfRule>
          <xm:sqref>M5:M7</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B1:O7"/>
  <sheetViews>
    <sheetView zoomScale="70" zoomScaleNormal="70" workbookViewId="0">
      <selection activeCell="E29" sqref="E29"/>
    </sheetView>
  </sheetViews>
  <sheetFormatPr defaultColWidth="9" defaultRowHeight="15" x14ac:dyDescent="0.2"/>
  <cols>
    <col min="1" max="1" width="4.453125" style="1" customWidth="1"/>
    <col min="2" max="4" width="22.6328125" style="5" customWidth="1"/>
    <col min="5" max="5" width="15.6328125" style="6" customWidth="1"/>
    <col min="6" max="6" width="17.7265625" style="6" customWidth="1"/>
    <col min="7" max="7" width="18.36328125" style="5" customWidth="1"/>
    <col min="8" max="8" width="15.453125" style="5" customWidth="1"/>
    <col min="9" max="9" width="15.6328125" style="6" customWidth="1"/>
    <col min="10" max="10" width="17.81640625" style="6" customWidth="1"/>
    <col min="11" max="11" width="3.6328125" style="6" customWidth="1"/>
    <col min="12" max="12" width="15.453125" style="5" customWidth="1"/>
    <col min="13" max="13" width="3.7265625" style="5" customWidth="1"/>
    <col min="14" max="14" width="12.7265625" style="5" customWidth="1"/>
    <col min="15" max="15" width="25.6328125" style="5" customWidth="1"/>
    <col min="16" max="16384" width="9" style="1"/>
  </cols>
  <sheetData>
    <row r="1" spans="2:15" ht="32.5" x14ac:dyDescent="0.2">
      <c r="B1" s="3" t="s">
        <v>32</v>
      </c>
      <c r="C1" s="4"/>
    </row>
    <row r="2" spans="2:15" ht="32.5" x14ac:dyDescent="0.2">
      <c r="B2" s="3"/>
      <c r="C2" s="7" t="s">
        <v>33</v>
      </c>
      <c r="D2" s="8">
        <v>0.25</v>
      </c>
    </row>
    <row r="3" spans="2:15" x14ac:dyDescent="0.2">
      <c r="G3" s="4"/>
      <c r="H3" s="4"/>
    </row>
    <row r="4" spans="2:15" ht="30" x14ac:dyDescent="0.2">
      <c r="B4" s="9" t="s">
        <v>13</v>
      </c>
      <c r="C4" s="9" t="s">
        <v>14</v>
      </c>
      <c r="D4" s="9" t="s">
        <v>15</v>
      </c>
      <c r="E4" s="10" t="s">
        <v>53</v>
      </c>
      <c r="F4" s="10" t="s">
        <v>54</v>
      </c>
      <c r="G4" s="11" t="s">
        <v>55</v>
      </c>
      <c r="H4" s="12" t="s">
        <v>56</v>
      </c>
      <c r="I4" s="17" t="s">
        <v>36</v>
      </c>
      <c r="J4" s="10" t="s">
        <v>37</v>
      </c>
      <c r="K4" s="18" t="s">
        <v>38</v>
      </c>
      <c r="L4" s="11" t="s">
        <v>57</v>
      </c>
      <c r="M4" s="18" t="s">
        <v>39</v>
      </c>
      <c r="N4" s="11" t="s">
        <v>58</v>
      </c>
      <c r="O4" s="9" t="s">
        <v>40</v>
      </c>
    </row>
    <row r="5" spans="2:15" x14ac:dyDescent="0.2">
      <c r="B5" s="13" t="s">
        <v>24</v>
      </c>
      <c r="C5" s="13" t="s">
        <v>20</v>
      </c>
      <c r="D5" s="13" t="s">
        <v>25</v>
      </c>
      <c r="E5" s="14">
        <f ca="1">TODAY()-90</f>
        <v>44144</v>
      </c>
      <c r="F5" s="14">
        <f ca="1">TODAY()-80</f>
        <v>44154</v>
      </c>
      <c r="G5" s="15">
        <v>250</v>
      </c>
      <c r="H5" s="16">
        <f>IF(COUNTA([1]プロジェクト管理シート!$E8,[1]プロジェクト管理シート!$F8)&lt;&gt;2,"",DAYS360([1]プロジェクト管理シート!$E8,[1]プロジェクト管理シート!$F8,FALSE))</f>
        <v>10</v>
      </c>
      <c r="I5" s="19">
        <f ca="1">TODAY()-90</f>
        <v>44144</v>
      </c>
      <c r="J5" s="14">
        <f ca="1">TODAY()-71</f>
        <v>44163</v>
      </c>
      <c r="K5" s="20" t="s">
        <v>64</v>
      </c>
      <c r="L5" s="15">
        <v>276</v>
      </c>
      <c r="M5" s="20" t="s">
        <v>64</v>
      </c>
      <c r="N5" s="21">
        <f>IF(COUNTA([1]プロジェクト管理シート!$I8,[1]プロジェクト管理シート!$J8)&lt;&gt;2,"",DAYS360([1]プロジェクト管理シート!$I8,[1]プロジェクト管理シート!$J8,FALSE))</f>
        <v>20</v>
      </c>
      <c r="O5" s="13"/>
    </row>
    <row r="6" spans="2:15" x14ac:dyDescent="0.2">
      <c r="B6" s="13" t="s">
        <v>26</v>
      </c>
      <c r="C6" s="13" t="s">
        <v>27</v>
      </c>
      <c r="D6" s="13" t="s">
        <v>23</v>
      </c>
      <c r="E6" s="14">
        <f ca="1">TODAY()-90</f>
        <v>44144</v>
      </c>
      <c r="F6" s="14">
        <f ca="1">TODAY()-50</f>
        <v>44184</v>
      </c>
      <c r="G6" s="15">
        <v>300</v>
      </c>
      <c r="H6" s="16">
        <f>IF(COUNTA([1]プロジェクト管理シート!$E9,[1]プロジェクト管理シート!$F9)&lt;&gt;2,"",DAYS360([1]プロジェクト管理シート!$E9,[1]プロジェクト管理シート!$F9,FALSE))</f>
        <v>41</v>
      </c>
      <c r="I6" s="19">
        <f ca="1">TODAY()-90</f>
        <v>44144</v>
      </c>
      <c r="J6" s="14">
        <f ca="1">TODAY()-44</f>
        <v>44190</v>
      </c>
      <c r="K6" s="20" t="s">
        <v>64</v>
      </c>
      <c r="L6" s="15">
        <v>310</v>
      </c>
      <c r="M6" s="20" t="s">
        <v>64</v>
      </c>
      <c r="N6" s="21">
        <f>IF(COUNTA([1]プロジェクト管理シート!$I9,[1]プロジェクト管理シート!$J9)&lt;&gt;2,"",DAYS360([1]プロジェクト管理シート!$I9,[1]プロジェクト管理シート!$J9,FALSE))</f>
        <v>47</v>
      </c>
      <c r="O6" s="13"/>
    </row>
    <row r="7" spans="2:15" x14ac:dyDescent="0.2">
      <c r="B7" s="13" t="s">
        <v>28</v>
      </c>
      <c r="C7" s="13" t="s">
        <v>29</v>
      </c>
      <c r="D7" s="13" t="s">
        <v>21</v>
      </c>
      <c r="E7" s="14">
        <f ca="1">TODAY()-60</f>
        <v>44174</v>
      </c>
      <c r="F7" s="14">
        <f ca="1">TODAY()-50</f>
        <v>44184</v>
      </c>
      <c r="G7" s="15">
        <v>500</v>
      </c>
      <c r="H7" s="16">
        <f>IF(COUNTA([1]プロジェクト管理シート!$E10,[1]プロジェクト管理シート!$F10)&lt;&gt;2,"",DAYS360([1]プロジェクト管理シート!$E10,[1]プロジェクト管理シート!$F10,FALSE))</f>
        <v>10</v>
      </c>
      <c r="I7" s="19">
        <f ca="1">TODAY()-60</f>
        <v>44174</v>
      </c>
      <c r="J7" s="14">
        <f ca="1">TODAY()-45</f>
        <v>44189</v>
      </c>
      <c r="K7" s="20" t="s">
        <v>64</v>
      </c>
      <c r="L7" s="15">
        <v>510</v>
      </c>
      <c r="M7" s="20" t="s">
        <v>64</v>
      </c>
      <c r="N7" s="21">
        <f>IF(COUNTA([1]プロジェクト管理シート!$I10,[1]プロジェクト管理シート!$J10)&lt;&gt;2,"",DAYS360([1]プロジェクト管理シート!$I10,[1]プロジェクト管理シート!$J10,FALSE))</f>
        <v>15</v>
      </c>
      <c r="O7" s="13"/>
    </row>
  </sheetData>
  <phoneticPr fontId="1"/>
  <conditionalFormatting sqref="L5:L7">
    <cfRule type="expression" dxfId="57" priority="1">
      <formula>(ABS((L5-G5))/G5)&gt;FlagPercent</formula>
    </cfRule>
  </conditionalFormatting>
  <conditionalFormatting sqref="N5:N7">
    <cfRule type="expression" dxfId="56" priority="2">
      <formula>(ABS((N5-H5))/H5)&gt;FlagPercent</formula>
    </cfRule>
  </conditionalFormatting>
  <dataValidations count="17">
    <dataValidation allowBlank="1" showInputMessage="1" showErrorMessage="1" prompt="この列にはプロジェクトの実績開始日を入力します" sqref="I4" xr:uid="{00000000-0002-0000-0200-000000000000}"/>
    <dataValidation allowBlank="1" showInputMessage="1" showErrorMessage="1" prompt="この列にはプロジェクトの実績終了日を入力します" sqref="J4" xr:uid="{00000000-0002-0000-0200-000001000000}"/>
    <dataValidation allowBlank="1" showInputMessage="1" showErrorMessage="1" prompt="プロジェクト管理シート表で超過/過少実績作業時間を表す見出しフラグのアイコン。L 列の値が超過/過少条件を満たす場合、この列の各セルにフラグ アイコンが生成されます。空白セルは値が超過/過少条件を満たしていないことを示します" sqref="K4" xr:uid="{00000000-0002-0000-0200-000002000000}"/>
    <dataValidation allowBlank="1" showInputMessage="1" showErrorMessage="1" prompt="プロジェクト管理ワークシートで、列 N の超過/過少実績期間 (日数) の値を表す表見出しフラグ アイコン。値が超過/過少条件を満たす場合は、この列の各セルにフラグ アイコンが生成されます。空白セルは値が超過/過少条件を満たしていないことを示します" sqref="M4" xr:uid="{00000000-0002-0000-0200-000003000000}"/>
    <dataValidation allowBlank="1" showInputMessage="1" showErrorMessage="1" prompt="プロジェクトの実績作業時間を入力します。超過/過少条件を満たす値は、太字の赤い文字で強調表示され、列 K の左にフラグ アイコンが生成されます" sqref="L4" xr:uid="{00000000-0002-0000-0200-000004000000}"/>
    <dataValidation allowBlank="1" showInputMessage="1" showErrorMessage="1" prompt="プロジェクトの実績期間 (日数) を入力します。超過/過少条件を満たす値は、太字の赤い文字で強調表示され、列 M の左にフラグ アイコンが生成されます" sqref="N4" xr:uid="{00000000-0002-0000-0200-000005000000}"/>
    <dataValidation allowBlank="1" showInputMessage="1" showErrorMessage="1" prompt="この列にはプロジェクトに関するメモを入力します。" sqref="O4" xr:uid="{00000000-0002-0000-0200-000006000000}"/>
    <dataValidation allowBlank="1" showInputMessage="1" showErrorMessage="1" prompt="カスタマイズ可能な超過/過少率。プロジェクト表でこの数字を上回るか下回る実績作業の時間数と日数は強調表示されます" sqref="D2" xr:uid="{00000000-0002-0000-0200-000007000000}"/>
    <dataValidation allowBlank="1" showInputMessage="1" showErrorMessage="1" prompt="この列にはプロジェクト名を入力します" sqref="B4" xr:uid="{00000000-0002-0000-0200-000008000000}"/>
    <dataValidation allowBlank="1" showInputMessage="1" showErrorMessage="1" prompt="この列の各セルでドロップダウン リストからカテゴリ名を選びます。このリストのオプションはセットアップ ワークシートで定義されます。Alt キーを押しながら下方向キーを押してリスト内を移動し、Enter キーを押して選択します" sqref="C4" xr:uid="{00000000-0002-0000-0200-000009000000}"/>
    <dataValidation allowBlank="1" showInputMessage="1" showErrorMessage="1" prompt="この列の各セルでドロップダウン リストから従業員名を選びます。オプションはセットアップ ワークシートで定義されます。Alt キーを押しながら下方向キーを押してリスト内を移動し、Enter キーを押して選択します" sqref="D4" xr:uid="{00000000-0002-0000-0200-00000A000000}"/>
    <dataValidation allowBlank="1" showInputMessage="1" showErrorMessage="1" prompt="この列にはプロジェクトの見積もり開始日を入力します" sqref="E4" xr:uid="{00000000-0002-0000-0200-00000B000000}"/>
    <dataValidation allowBlank="1" showInputMessage="1" showErrorMessage="1" prompt="この列にはプロジェクトの見積もり終了日を入力します" sqref="F4" xr:uid="{00000000-0002-0000-0200-00000C000000}"/>
    <dataValidation allowBlank="1" showInputMessage="1" showErrorMessage="1" prompt="プロジェクトの見積もり作業時間を入力します。" sqref="G4" xr:uid="{00000000-0002-0000-0200-00000D000000}"/>
    <dataValidation allowBlank="1" showInputMessage="1" showErrorMessage="1" prompt="この列にはプロジェクトの見積もり期間を入力します" sqref="H4" xr:uid="{00000000-0002-0000-0200-00000E000000}"/>
    <dataValidation type="list" allowBlank="1" showInputMessage="1" showErrorMessage="1" error="リストから従業員を選択するか、セットアップ ワークシートで、このリストに表示する新しい従業員を作成します。" sqref="D5:D7" xr:uid="{00000000-0002-0000-0200-00000F000000}">
      <formula1>EmployeeList</formula1>
    </dataValidation>
    <dataValidation type="list" allowBlank="1" showInputMessage="1" showErrorMessage="1" error="リストからカテゴリを選択するか、セットアップ ワークシートで、このリストに表示する新しいカテゴリを作成します。" sqref="C5:C7" xr:uid="{00000000-0002-0000-0200-000010000000}">
      <formula1>CategoryList</formula1>
    </dataValidation>
  </dataValidations>
  <pageMargins left="0.7" right="0.7" top="0.75" bottom="0.75" header="0.3" footer="0.3"/>
  <drawing r:id="rId1"/>
  <tableParts count="1">
    <tablePart r:id="rId2"/>
  </tableParts>
  <extLst>
    <ext xmlns:x14="http://schemas.microsoft.com/office/spreadsheetml/2009/9/main" uri="{78C0D931-6437-407d-A8EE-F0AAD7539E65}">
      <x14:conditionalFormattings>
        <x14:conditionalFormatting xmlns:xm="http://schemas.microsoft.com/office/excel/2006/main">
          <x14:cfRule type="iconSet" priority="3" id="{78762F05-D3EF-414F-9D97-1BD24E557848}">
            <x14:iconSet custom="1">
              <x14:cfvo type="percent">
                <xm:f>0</xm:f>
              </x14:cfvo>
              <x14:cfvo type="num">
                <xm:f>0</xm:f>
              </x14:cfvo>
              <x14:cfvo type="num">
                <xm:f>1</xm:f>
              </x14:cfvo>
              <x14:cfIcon iconSet="NoIcons" iconId="0"/>
              <x14:cfIcon iconSet="NoIcons" iconId="0"/>
              <x14:cfIcon iconSet="3Flags" iconId="0"/>
            </x14:iconSet>
          </x14:cfRule>
          <xm:sqref>K5:K7</xm:sqref>
        </x14:conditionalFormatting>
        <x14:conditionalFormatting xmlns:xm="http://schemas.microsoft.com/office/excel/2006/main">
          <x14:cfRule type="iconSet" priority="4" id="{FF7E4A07-7ABD-470F-AD89-3F3599FBF7A2}">
            <x14:iconSet custom="1">
              <x14:cfvo type="percent">
                <xm:f>0</xm:f>
              </x14:cfvo>
              <x14:cfvo type="num">
                <xm:f>0</xm:f>
              </x14:cfvo>
              <x14:cfvo type="num">
                <xm:f>1</xm:f>
              </x14:cfvo>
              <x14:cfIcon iconSet="NoIcons" iconId="0"/>
              <x14:cfIcon iconSet="NoIcons" iconId="0"/>
              <x14:cfIcon iconSet="3Flags" iconId="0"/>
            </x14:iconSet>
          </x14:cfRule>
          <xm:sqref>M5:M7</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B1:O7"/>
  <sheetViews>
    <sheetView zoomScale="70" zoomScaleNormal="70" workbookViewId="0">
      <selection activeCell="E15" sqref="E15"/>
    </sheetView>
  </sheetViews>
  <sheetFormatPr defaultColWidth="9" defaultRowHeight="15" x14ac:dyDescent="0.2"/>
  <cols>
    <col min="1" max="1" width="4.453125" style="1" customWidth="1"/>
    <col min="2" max="4" width="22.6328125" style="5" customWidth="1"/>
    <col min="5" max="5" width="18.453125" style="6" customWidth="1"/>
    <col min="6" max="6" width="15.6328125" style="6" customWidth="1"/>
    <col min="7" max="7" width="18.36328125" style="5" customWidth="1"/>
    <col min="8" max="8" width="15.453125" style="5" customWidth="1"/>
    <col min="9" max="9" width="17.453125" style="6" customWidth="1"/>
    <col min="10" max="10" width="15.6328125" style="6" customWidth="1"/>
    <col min="11" max="11" width="3.6328125" style="6" customWidth="1"/>
    <col min="12" max="12" width="15.453125" style="5" customWidth="1"/>
    <col min="13" max="13" width="3.7265625" style="5" customWidth="1"/>
    <col min="14" max="14" width="12.7265625" style="5" customWidth="1"/>
    <col min="15" max="15" width="25.6328125" style="5" customWidth="1"/>
    <col min="16" max="16384" width="9" style="1"/>
  </cols>
  <sheetData>
    <row r="1" spans="2:15" ht="32.5" x14ac:dyDescent="0.2">
      <c r="B1" s="3" t="s">
        <v>32</v>
      </c>
      <c r="C1" s="4"/>
    </row>
    <row r="2" spans="2:15" ht="32.5" x14ac:dyDescent="0.2">
      <c r="B2" s="3"/>
      <c r="C2" s="7" t="s">
        <v>33</v>
      </c>
      <c r="D2" s="8">
        <v>0.25</v>
      </c>
    </row>
    <row r="3" spans="2:15" x14ac:dyDescent="0.2">
      <c r="G3" s="4"/>
      <c r="H3" s="4"/>
    </row>
    <row r="4" spans="2:15" ht="30" x14ac:dyDescent="0.2">
      <c r="B4" s="9" t="s">
        <v>13</v>
      </c>
      <c r="C4" s="9" t="s">
        <v>14</v>
      </c>
      <c r="D4" s="9" t="s">
        <v>15</v>
      </c>
      <c r="E4" s="10" t="s">
        <v>53</v>
      </c>
      <c r="F4" s="10" t="s">
        <v>54</v>
      </c>
      <c r="G4" s="11" t="s">
        <v>55</v>
      </c>
      <c r="H4" s="12" t="s">
        <v>56</v>
      </c>
      <c r="I4" s="17" t="s">
        <v>36</v>
      </c>
      <c r="J4" s="10" t="s">
        <v>37</v>
      </c>
      <c r="K4" s="18" t="s">
        <v>38</v>
      </c>
      <c r="L4" s="11" t="s">
        <v>57</v>
      </c>
      <c r="M4" s="18" t="s">
        <v>39</v>
      </c>
      <c r="N4" s="11" t="s">
        <v>58</v>
      </c>
      <c r="O4" s="9" t="s">
        <v>40</v>
      </c>
    </row>
    <row r="5" spans="2:15" x14ac:dyDescent="0.2">
      <c r="B5" s="13" t="s">
        <v>30</v>
      </c>
      <c r="C5" s="13" t="s">
        <v>31</v>
      </c>
      <c r="D5" s="13" t="s">
        <v>18</v>
      </c>
      <c r="E5" s="14">
        <f ca="1">TODAY()-44</f>
        <v>44190</v>
      </c>
      <c r="F5" s="14">
        <f ca="1">TODAY()-20</f>
        <v>44214</v>
      </c>
      <c r="G5" s="15">
        <v>750</v>
      </c>
      <c r="H5" s="16">
        <f>IF(COUNTA([1]プロジェクト管理シート!$E11,[1]プロジェクト管理シート!$F11)&lt;&gt;2,"",DAYS360([1]プロジェクト管理シート!$E11,[1]プロジェクト管理シート!$F11,FALSE))</f>
        <v>23</v>
      </c>
      <c r="I5" s="19">
        <f ca="1">TODAY()-44</f>
        <v>44190</v>
      </c>
      <c r="J5" s="14">
        <f ca="1">TODAY()-15</f>
        <v>44219</v>
      </c>
      <c r="K5" s="20" t="s">
        <v>64</v>
      </c>
      <c r="L5" s="15">
        <v>790</v>
      </c>
      <c r="M5" s="20" t="s">
        <v>64</v>
      </c>
      <c r="N5" s="21">
        <f>IF(COUNTA([1]プロジェクト管理シート!$I11,[1]プロジェクト管理シート!$J11)&lt;&gt;2,"",DAYS360([1]プロジェクト管理シート!$I11,[1]プロジェクト管理シート!$J11,FALSE))</f>
        <v>28</v>
      </c>
      <c r="O5" s="13"/>
    </row>
    <row r="6" spans="2:15" x14ac:dyDescent="0.2">
      <c r="B6" s="13" t="s">
        <v>34</v>
      </c>
      <c r="C6" s="13" t="s">
        <v>20</v>
      </c>
      <c r="D6" s="13" t="s">
        <v>18</v>
      </c>
      <c r="E6" s="14">
        <f ca="1">TODAY()-39</f>
        <v>44195</v>
      </c>
      <c r="F6" s="14">
        <f ca="1">TODAY()</f>
        <v>44234</v>
      </c>
      <c r="G6" s="15">
        <v>450</v>
      </c>
      <c r="H6" s="16">
        <f>IF(COUNTA([1]プロジェクト管理シート!$E12,[1]プロジェクト管理シート!$F12)&lt;&gt;2,"",DAYS360([1]プロジェクト管理シート!$E12,[1]プロジェクト管理シート!$F12,FALSE))</f>
        <v>39</v>
      </c>
      <c r="I6" s="19">
        <f ca="1">TODAY()-45</f>
        <v>44189</v>
      </c>
      <c r="J6" s="14">
        <f ca="1">TODAY()-5</f>
        <v>44229</v>
      </c>
      <c r="K6" s="20" t="s">
        <v>64</v>
      </c>
      <c r="L6" s="15">
        <v>430</v>
      </c>
      <c r="M6" s="20" t="s">
        <v>64</v>
      </c>
      <c r="N6" s="21">
        <f>IF(COUNTA([1]プロジェクト管理シート!$I12,[1]プロジェクト管理シート!$J12)&lt;&gt;2,"",DAYS360([1]プロジェクト管理シート!$I12,[1]プロジェクト管理シート!$J12,FALSE))</f>
        <v>39</v>
      </c>
      <c r="O6" s="13"/>
    </row>
    <row r="7" spans="2:15" x14ac:dyDescent="0.2">
      <c r="B7" s="13" t="s">
        <v>35</v>
      </c>
      <c r="C7" s="13" t="s">
        <v>29</v>
      </c>
      <c r="D7" s="13" t="s">
        <v>18</v>
      </c>
      <c r="E7" s="14">
        <v>42405</v>
      </c>
      <c r="F7" s="14">
        <v>42530</v>
      </c>
      <c r="G7" s="15">
        <v>250</v>
      </c>
      <c r="H7" s="16">
        <f>IF(COUNTA([1]プロジェクト管理シート!$E13,[1]プロジェクト管理シート!$F13)&lt;&gt;2,"",DAYS360([1]プロジェクト管理シート!$E13,[1]プロジェクト管理シート!$F13,FALSE))</f>
        <v>124</v>
      </c>
      <c r="I7" s="19">
        <v>42434</v>
      </c>
      <c r="J7" s="14">
        <v>42495</v>
      </c>
      <c r="K7" s="20" t="s">
        <v>64</v>
      </c>
      <c r="L7" s="15">
        <v>200</v>
      </c>
      <c r="M7" s="20" t="s">
        <v>64</v>
      </c>
      <c r="N7" s="21">
        <f>IF(COUNTA([1]プロジェクト管理シート!$I13,[1]プロジェクト管理シート!$J13)&lt;&gt;2,"",DAYS360([1]プロジェクト管理シート!$I13,[1]プロジェクト管理シート!$J13,FALSE))</f>
        <v>60</v>
      </c>
      <c r="O7" s="13"/>
    </row>
  </sheetData>
  <phoneticPr fontId="1"/>
  <conditionalFormatting sqref="L5:L7">
    <cfRule type="expression" dxfId="39" priority="1">
      <formula>(ABS((L5-G5))/G5)&gt;FlagPercent</formula>
    </cfRule>
  </conditionalFormatting>
  <conditionalFormatting sqref="N5:N7">
    <cfRule type="expression" dxfId="38" priority="2">
      <formula>(ABS((N5-H5))/H5)&gt;FlagPercent</formula>
    </cfRule>
  </conditionalFormatting>
  <dataValidations count="17">
    <dataValidation allowBlank="1" showInputMessage="1" showErrorMessage="1" prompt="この列にはプロジェクトの見積もり期間を入力します" sqref="H4" xr:uid="{00000000-0002-0000-0300-000000000000}"/>
    <dataValidation allowBlank="1" showInputMessage="1" showErrorMessage="1" prompt="プロジェクトの見積もり作業時間を入力します。" sqref="G4" xr:uid="{00000000-0002-0000-0300-000001000000}"/>
    <dataValidation allowBlank="1" showInputMessage="1" showErrorMessage="1" prompt="この列にはプロジェクトの見積もり終了日を入力します" sqref="F4" xr:uid="{00000000-0002-0000-0300-000002000000}"/>
    <dataValidation allowBlank="1" showInputMessage="1" showErrorMessage="1" prompt="この列にはプロジェクトの見積もり開始日を入力します" sqref="E4" xr:uid="{00000000-0002-0000-0300-000003000000}"/>
    <dataValidation allowBlank="1" showInputMessage="1" showErrorMessage="1" prompt="この列の各セルでドロップダウン リストから従業員名を選びます。オプションはセットアップ ワークシートで定義されます。Alt キーを押しながら下方向キーを押してリスト内を移動し、Enter キーを押して選択します" sqref="D4" xr:uid="{00000000-0002-0000-0300-000004000000}"/>
    <dataValidation allowBlank="1" showInputMessage="1" showErrorMessage="1" prompt="この列の各セルでドロップダウン リストからカテゴリ名を選びます。このリストのオプションはセットアップ ワークシートで定義されます。Alt キーを押しながら下方向キーを押してリスト内を移動し、Enter キーを押して選択します" sqref="C4" xr:uid="{00000000-0002-0000-0300-000005000000}"/>
    <dataValidation allowBlank="1" showInputMessage="1" showErrorMessage="1" prompt="この列にはプロジェクト名を入力します" sqref="B4" xr:uid="{00000000-0002-0000-0300-000006000000}"/>
    <dataValidation allowBlank="1" showInputMessage="1" showErrorMessage="1" prompt="カスタマイズ可能な超過/過少率。プロジェクト表でこの数字を上回るか下回る実績作業の時間数と日数は強調表示されます" sqref="D2" xr:uid="{00000000-0002-0000-0300-000007000000}"/>
    <dataValidation allowBlank="1" showInputMessage="1" showErrorMessage="1" prompt="この列にはプロジェクトに関するメモを入力します。" sqref="O4" xr:uid="{00000000-0002-0000-0300-000008000000}"/>
    <dataValidation allowBlank="1" showInputMessage="1" showErrorMessage="1" prompt="プロジェクトの実績期間 (日数) を入力します。超過/過少条件を満たす値は、太字の赤い文字で強調表示され、列 M の左にフラグ アイコンが生成されます" sqref="N4" xr:uid="{00000000-0002-0000-0300-000009000000}"/>
    <dataValidation allowBlank="1" showInputMessage="1" showErrorMessage="1" prompt="プロジェクトの実績作業時間を入力します。超過/過少条件を満たす値は、太字の赤い文字で強調表示され、列 K の左にフラグ アイコンが生成されます" sqref="L4" xr:uid="{00000000-0002-0000-0300-00000A000000}"/>
    <dataValidation allowBlank="1" showInputMessage="1" showErrorMessage="1" prompt="プロジェクト管理ワークシートで、列 N の超過/過少実績期間 (日数) の値を表す表見出しフラグ アイコン。値が超過/過少条件を満たす場合は、この列の各セルにフラグ アイコンが生成されます。空白セルは値が超過/過少条件を満たしていないことを示します" sqref="M4" xr:uid="{00000000-0002-0000-0300-00000B000000}"/>
    <dataValidation allowBlank="1" showInputMessage="1" showErrorMessage="1" prompt="プロジェクト管理シート表で超過/過少実績作業時間を表す見出しフラグのアイコン。L 列の値が超過/過少条件を満たす場合、この列の各セルにフラグ アイコンが生成されます。空白セルは値が超過/過少条件を満たしていないことを示します" sqref="K4" xr:uid="{00000000-0002-0000-0300-00000C000000}"/>
    <dataValidation allowBlank="1" showInputMessage="1" showErrorMessage="1" prompt="この列にはプロジェクトの実績終了日を入力します" sqref="J4" xr:uid="{00000000-0002-0000-0300-00000D000000}"/>
    <dataValidation allowBlank="1" showInputMessage="1" showErrorMessage="1" prompt="この列にはプロジェクトの実績開始日を入力します" sqref="I4" xr:uid="{00000000-0002-0000-0300-00000E000000}"/>
    <dataValidation type="list" allowBlank="1" showInputMessage="1" showErrorMessage="1" error="リストからカテゴリを選択するか、セットアップ ワークシートで、このリストに表示する新しいカテゴリを作成します。" sqref="C5:C7" xr:uid="{00000000-0002-0000-0300-00000F000000}">
      <formula1>CategoryList</formula1>
    </dataValidation>
    <dataValidation type="list" allowBlank="1" showInputMessage="1" showErrorMessage="1" error="リストから従業員を選択するか、セットアップ ワークシートで、このリストに表示する新しい従業員を作成します。" sqref="D5:D7" xr:uid="{00000000-0002-0000-0300-000010000000}">
      <formula1>EmployeeList</formula1>
    </dataValidation>
  </dataValidations>
  <pageMargins left="0.7" right="0.7" top="0.75" bottom="0.75" header="0.3" footer="0.3"/>
  <drawing r:id="rId1"/>
  <tableParts count="1">
    <tablePart r:id="rId2"/>
  </tableParts>
  <extLst>
    <ext xmlns:x14="http://schemas.microsoft.com/office/spreadsheetml/2009/9/main" uri="{78C0D931-6437-407d-A8EE-F0AAD7539E65}">
      <x14:conditionalFormattings>
        <x14:conditionalFormatting xmlns:xm="http://schemas.microsoft.com/office/excel/2006/main">
          <x14:cfRule type="iconSet" priority="3" id="{A04C9F0F-26E6-4E00-8F48-BA4468512FE7}">
            <x14:iconSet custom="1">
              <x14:cfvo type="percent">
                <xm:f>0</xm:f>
              </x14:cfvo>
              <x14:cfvo type="num">
                <xm:f>0</xm:f>
              </x14:cfvo>
              <x14:cfvo type="num">
                <xm:f>1</xm:f>
              </x14:cfvo>
              <x14:cfIcon iconSet="NoIcons" iconId="0"/>
              <x14:cfIcon iconSet="NoIcons" iconId="0"/>
              <x14:cfIcon iconSet="3Flags" iconId="0"/>
            </x14:iconSet>
          </x14:cfRule>
          <xm:sqref>K5:K7</xm:sqref>
        </x14:conditionalFormatting>
        <x14:conditionalFormatting xmlns:xm="http://schemas.microsoft.com/office/excel/2006/main">
          <x14:cfRule type="iconSet" priority="4" id="{ABA1BFB2-1359-4DEF-B0AA-8BB2A610462D}">
            <x14:iconSet custom="1">
              <x14:cfvo type="percent">
                <xm:f>0</xm:f>
              </x14:cfvo>
              <x14:cfvo type="num">
                <xm:f>0</xm:f>
              </x14:cfvo>
              <x14:cfvo type="num">
                <xm:f>1</xm:f>
              </x14:cfvo>
              <x14:cfIcon iconSet="NoIcons" iconId="0"/>
              <x14:cfIcon iconSet="NoIcons" iconId="0"/>
              <x14:cfIcon iconSet="3Flags" iconId="0"/>
            </x14:iconSet>
          </x14:cfRule>
          <xm:sqref>M5:M7</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dimension ref="B1:O13"/>
  <sheetViews>
    <sheetView zoomScale="70" zoomScaleNormal="70" workbookViewId="0">
      <selection activeCell="D18" sqref="D18"/>
    </sheetView>
  </sheetViews>
  <sheetFormatPr defaultColWidth="3.6328125" defaultRowHeight="15" x14ac:dyDescent="0.2"/>
  <cols>
    <col min="1" max="1" width="4.453125" style="1" customWidth="1"/>
    <col min="2" max="4" width="22.6328125" style="5" customWidth="1"/>
    <col min="5" max="6" width="15.6328125" style="6" customWidth="1"/>
    <col min="7" max="7" width="18.36328125" style="5" customWidth="1"/>
    <col min="8" max="8" width="15.453125" style="5" customWidth="1"/>
    <col min="9" max="10" width="15.6328125" style="6" customWidth="1"/>
    <col min="11" max="11" width="3.6328125" style="6" customWidth="1"/>
    <col min="12" max="12" width="15.453125" style="5" customWidth="1"/>
    <col min="13" max="13" width="3.7265625" style="5" customWidth="1"/>
    <col min="14" max="14" width="12.7265625" style="5" customWidth="1"/>
    <col min="15" max="15" width="25.6328125" style="5" customWidth="1"/>
    <col min="16" max="16384" width="3.6328125" style="1"/>
  </cols>
  <sheetData>
    <row r="1" spans="2:15" ht="32.5" x14ac:dyDescent="0.2">
      <c r="B1" s="3" t="s">
        <v>32</v>
      </c>
      <c r="C1" s="4"/>
    </row>
    <row r="2" spans="2:15" ht="32.5" x14ac:dyDescent="0.2">
      <c r="B2" s="3"/>
      <c r="C2" s="7" t="s">
        <v>33</v>
      </c>
      <c r="D2" s="8">
        <v>0.25</v>
      </c>
    </row>
    <row r="3" spans="2:15" x14ac:dyDescent="0.2">
      <c r="G3" s="4"/>
      <c r="H3" s="4"/>
    </row>
    <row r="4" spans="2:15" ht="30" x14ac:dyDescent="0.2">
      <c r="B4" s="9" t="s">
        <v>13</v>
      </c>
      <c r="C4" s="9" t="s">
        <v>14</v>
      </c>
      <c r="D4" s="9" t="s">
        <v>15</v>
      </c>
      <c r="E4" s="10" t="s">
        <v>41</v>
      </c>
      <c r="F4" s="10" t="s">
        <v>42</v>
      </c>
      <c r="G4" s="11" t="s">
        <v>43</v>
      </c>
      <c r="H4" s="12" t="s">
        <v>44</v>
      </c>
      <c r="I4" s="17" t="s">
        <v>36</v>
      </c>
      <c r="J4" s="10" t="s">
        <v>37</v>
      </c>
      <c r="K4" s="18" t="s">
        <v>38</v>
      </c>
      <c r="L4" s="11" t="s">
        <v>45</v>
      </c>
      <c r="M4" s="18" t="s">
        <v>39</v>
      </c>
      <c r="N4" s="11" t="s">
        <v>46</v>
      </c>
      <c r="O4" s="9" t="s">
        <v>40</v>
      </c>
    </row>
    <row r="5" spans="2:15" x14ac:dyDescent="0.2">
      <c r="B5" s="13" t="s">
        <v>16</v>
      </c>
      <c r="C5" s="13" t="s">
        <v>17</v>
      </c>
      <c r="D5" s="13" t="s">
        <v>18</v>
      </c>
      <c r="E5" s="14">
        <f ca="1">TODAY()-65</f>
        <v>44169</v>
      </c>
      <c r="F5" s="14">
        <f ca="1">TODAY()-5</f>
        <v>44229</v>
      </c>
      <c r="G5" s="15">
        <v>210</v>
      </c>
      <c r="H5" s="16">
        <f>IF(COUNTA([1]プロジェクト管理シート!$E5,[1]プロジェクト管理シート!$F5)&lt;&gt;2,"",DAYS360([1]プロジェクト管理シート!$E5,[1]プロジェクト管理シート!$F5,FALSE))</f>
        <v>59</v>
      </c>
      <c r="I5" s="19">
        <f ca="1">TODAY()-65</f>
        <v>44169</v>
      </c>
      <c r="J5" s="14">
        <f ca="1">TODAY()</f>
        <v>44234</v>
      </c>
      <c r="K5" s="20">
        <v>1</v>
      </c>
      <c r="L5" s="15">
        <v>300</v>
      </c>
      <c r="M5" s="20">
        <v>0</v>
      </c>
      <c r="N5" s="21">
        <f>IF(COUNTA([1]プロジェクト管理シート!$I5,[1]プロジェクト管理シート!$J5)&lt;&gt;2,"",DAYS360([1]プロジェクト管理シート!$I5,[1]プロジェクト管理シート!$J5,FALSE))</f>
        <v>64</v>
      </c>
      <c r="O5" s="13"/>
    </row>
    <row r="6" spans="2:15" x14ac:dyDescent="0.2">
      <c r="B6" s="13" t="s">
        <v>19</v>
      </c>
      <c r="C6" s="13" t="s">
        <v>20</v>
      </c>
      <c r="D6" s="13" t="s">
        <v>21</v>
      </c>
      <c r="E6" s="14">
        <f ca="1">TODAY()-41</f>
        <v>44193</v>
      </c>
      <c r="F6" s="14">
        <f ca="1">TODAY()-10</f>
        <v>44224</v>
      </c>
      <c r="G6" s="15">
        <v>400</v>
      </c>
      <c r="H6" s="16">
        <f>IF(COUNTA([1]プロジェクト管理シート!$E6,[1]プロジェクト管理シート!$F6)&lt;&gt;2,"",DAYS360([1]プロジェクト管理シート!$E6,[1]プロジェクト管理シート!$F6,FALSE))</f>
        <v>31</v>
      </c>
      <c r="I6" s="19">
        <f ca="1">TODAY()-41</f>
        <v>44193</v>
      </c>
      <c r="J6" s="14">
        <f ca="1">TODAY()-7</f>
        <v>44227</v>
      </c>
      <c r="K6" s="20">
        <v>0</v>
      </c>
      <c r="L6" s="15">
        <v>390</v>
      </c>
      <c r="M6" s="20">
        <v>0</v>
      </c>
      <c r="N6" s="21">
        <f>IF(COUNTA([1]プロジェクト管理シート!$I6,[1]プロジェクト管理シート!$J6)&lt;&gt;2,"",DAYS360([1]プロジェクト管理シート!$I6,[1]プロジェクト管理シート!$J6,FALSE))</f>
        <v>34</v>
      </c>
      <c r="O6" s="13"/>
    </row>
    <row r="7" spans="2:15" x14ac:dyDescent="0.2">
      <c r="B7" s="13" t="s">
        <v>22</v>
      </c>
      <c r="C7" s="13" t="s">
        <v>17</v>
      </c>
      <c r="D7" s="13" t="s">
        <v>23</v>
      </c>
      <c r="E7" s="14">
        <f ca="1">TODAY()-100</f>
        <v>44134</v>
      </c>
      <c r="F7" s="14">
        <f ca="1">TODAY()-40</f>
        <v>44194</v>
      </c>
      <c r="G7" s="15">
        <v>500</v>
      </c>
      <c r="H7" s="16">
        <f>IF(COUNTA([1]プロジェクト管理シート!$E7,[1]プロジェクト管理シート!$F7)&lt;&gt;2,"",DAYS360([1]プロジェクト管理シート!$E7,[1]プロジェクト管理シート!$F7,FALSE))</f>
        <v>60</v>
      </c>
      <c r="I7" s="19">
        <f ca="1">TODAY()-100</f>
        <v>44134</v>
      </c>
      <c r="J7" s="14">
        <f ca="1">TODAY()-27</f>
        <v>44207</v>
      </c>
      <c r="K7" s="20">
        <v>0</v>
      </c>
      <c r="L7" s="15">
        <v>500</v>
      </c>
      <c r="M7" s="20">
        <v>0</v>
      </c>
      <c r="N7" s="21">
        <f>IF(COUNTA([1]プロジェクト管理シート!$I7,[1]プロジェクト管理シート!$J7)&lt;&gt;2,"",DAYS360([1]プロジェクト管理シート!$I7,[1]プロジェクト管理シート!$J7,FALSE))</f>
        <v>73</v>
      </c>
      <c r="O7" s="13"/>
    </row>
    <row r="8" spans="2:15" x14ac:dyDescent="0.2">
      <c r="B8" s="13" t="s">
        <v>24</v>
      </c>
      <c r="C8" s="13" t="s">
        <v>20</v>
      </c>
      <c r="D8" s="13" t="s">
        <v>25</v>
      </c>
      <c r="E8" s="14">
        <f ca="1">TODAY()-90</f>
        <v>44144</v>
      </c>
      <c r="F8" s="14">
        <f ca="1">TODAY()-80</f>
        <v>44154</v>
      </c>
      <c r="G8" s="15">
        <v>250</v>
      </c>
      <c r="H8" s="16">
        <f>IF(COUNTA([1]プロジェクト管理シート!$E8,[1]プロジェクト管理シート!$F8)&lt;&gt;2,"",DAYS360([1]プロジェクト管理シート!$E8,[1]プロジェクト管理シート!$F8,FALSE))</f>
        <v>10</v>
      </c>
      <c r="I8" s="19">
        <f ca="1">TODAY()-90</f>
        <v>44144</v>
      </c>
      <c r="J8" s="14">
        <f ca="1">TODAY()-71</f>
        <v>44163</v>
      </c>
      <c r="K8" s="20">
        <v>0</v>
      </c>
      <c r="L8" s="15">
        <v>276</v>
      </c>
      <c r="M8" s="20">
        <v>1</v>
      </c>
      <c r="N8" s="21">
        <f>IF(COUNTA([1]プロジェクト管理シート!$I8,[1]プロジェクト管理シート!$J8)&lt;&gt;2,"",DAYS360([1]プロジェクト管理シート!$I8,[1]プロジェクト管理シート!$J8,FALSE))</f>
        <v>20</v>
      </c>
      <c r="O8" s="13"/>
    </row>
    <row r="9" spans="2:15" x14ac:dyDescent="0.2">
      <c r="B9" s="13" t="s">
        <v>26</v>
      </c>
      <c r="C9" s="13" t="s">
        <v>27</v>
      </c>
      <c r="D9" s="13" t="s">
        <v>23</v>
      </c>
      <c r="E9" s="14">
        <f ca="1">TODAY()-90</f>
        <v>44144</v>
      </c>
      <c r="F9" s="14">
        <f ca="1">TODAY()-50</f>
        <v>44184</v>
      </c>
      <c r="G9" s="15">
        <v>300</v>
      </c>
      <c r="H9" s="16">
        <f>IF(COUNTA([1]プロジェクト管理シート!$E9,[1]プロジェクト管理シート!$F9)&lt;&gt;2,"",DAYS360([1]プロジェクト管理シート!$E9,[1]プロジェクト管理シート!$F9,FALSE))</f>
        <v>41</v>
      </c>
      <c r="I9" s="19">
        <f ca="1">TODAY()-90</f>
        <v>44144</v>
      </c>
      <c r="J9" s="14">
        <f ca="1">TODAY()-44</f>
        <v>44190</v>
      </c>
      <c r="K9" s="20">
        <v>0</v>
      </c>
      <c r="L9" s="15">
        <v>310</v>
      </c>
      <c r="M9" s="20">
        <v>0</v>
      </c>
      <c r="N9" s="21">
        <f>IF(COUNTA([1]プロジェクト管理シート!$I9,[1]プロジェクト管理シート!$J9)&lt;&gt;2,"",DAYS360([1]プロジェクト管理シート!$I9,[1]プロジェクト管理シート!$J9,FALSE))</f>
        <v>47</v>
      </c>
      <c r="O9" s="13"/>
    </row>
    <row r="10" spans="2:15" x14ac:dyDescent="0.2">
      <c r="B10" s="13" t="s">
        <v>28</v>
      </c>
      <c r="C10" s="13" t="s">
        <v>29</v>
      </c>
      <c r="D10" s="13" t="s">
        <v>21</v>
      </c>
      <c r="E10" s="14">
        <f ca="1">TODAY()-60</f>
        <v>44174</v>
      </c>
      <c r="F10" s="14">
        <f ca="1">TODAY()-50</f>
        <v>44184</v>
      </c>
      <c r="G10" s="15">
        <v>500</v>
      </c>
      <c r="H10" s="16">
        <f>IF(COUNTA([1]プロジェクト管理シート!$E10,[1]プロジェクト管理シート!$F10)&lt;&gt;2,"",DAYS360([1]プロジェクト管理シート!$E10,[1]プロジェクト管理シート!$F10,FALSE))</f>
        <v>10</v>
      </c>
      <c r="I10" s="19">
        <f ca="1">TODAY()-60</f>
        <v>44174</v>
      </c>
      <c r="J10" s="14">
        <f ca="1">TODAY()-45</f>
        <v>44189</v>
      </c>
      <c r="K10" s="20">
        <v>0</v>
      </c>
      <c r="L10" s="15">
        <v>510</v>
      </c>
      <c r="M10" s="20">
        <v>1</v>
      </c>
      <c r="N10" s="21">
        <f>IF(COUNTA([1]プロジェクト管理シート!$I10,[1]プロジェクト管理シート!$J10)&lt;&gt;2,"",DAYS360([1]プロジェクト管理シート!$I10,[1]プロジェクト管理シート!$J10,FALSE))</f>
        <v>15</v>
      </c>
      <c r="O10" s="13"/>
    </row>
    <row r="11" spans="2:15" x14ac:dyDescent="0.2">
      <c r="B11" s="13" t="s">
        <v>30</v>
      </c>
      <c r="C11" s="13" t="s">
        <v>31</v>
      </c>
      <c r="D11" s="13" t="s">
        <v>18</v>
      </c>
      <c r="E11" s="14">
        <f ca="1">TODAY()-44</f>
        <v>44190</v>
      </c>
      <c r="F11" s="14">
        <f ca="1">TODAY()-20</f>
        <v>44214</v>
      </c>
      <c r="G11" s="15">
        <v>750</v>
      </c>
      <c r="H11" s="16">
        <f>IF(COUNTA([1]プロジェクト管理シート!$E11,[1]プロジェクト管理シート!$F11)&lt;&gt;2,"",DAYS360([1]プロジェクト管理シート!$E11,[1]プロジェクト管理シート!$F11,FALSE))</f>
        <v>23</v>
      </c>
      <c r="I11" s="19">
        <f ca="1">TODAY()-44</f>
        <v>44190</v>
      </c>
      <c r="J11" s="14">
        <f ca="1">TODAY()-15</f>
        <v>44219</v>
      </c>
      <c r="K11" s="20">
        <v>0</v>
      </c>
      <c r="L11" s="15">
        <v>790</v>
      </c>
      <c r="M11" s="20">
        <v>0</v>
      </c>
      <c r="N11" s="21">
        <f>IF(COUNTA([1]プロジェクト管理シート!$I11,[1]プロジェクト管理シート!$J11)&lt;&gt;2,"",DAYS360([1]プロジェクト管理シート!$I11,[1]プロジェクト管理シート!$J11,FALSE))</f>
        <v>28</v>
      </c>
      <c r="O11" s="13"/>
    </row>
    <row r="12" spans="2:15" x14ac:dyDescent="0.2">
      <c r="B12" s="13" t="s">
        <v>34</v>
      </c>
      <c r="C12" s="13" t="s">
        <v>20</v>
      </c>
      <c r="D12" s="13" t="s">
        <v>18</v>
      </c>
      <c r="E12" s="14">
        <f ca="1">TODAY()-39</f>
        <v>44195</v>
      </c>
      <c r="F12" s="14">
        <f ca="1">TODAY()</f>
        <v>44234</v>
      </c>
      <c r="G12" s="15">
        <v>450</v>
      </c>
      <c r="H12" s="16">
        <f>IF(COUNTA([1]プロジェクト管理シート!$E12,[1]プロジェクト管理シート!$F12)&lt;&gt;2,"",DAYS360([1]プロジェクト管理シート!$E12,[1]プロジェクト管理シート!$F12,FALSE))</f>
        <v>39</v>
      </c>
      <c r="I12" s="19">
        <f ca="1">TODAY()-45</f>
        <v>44189</v>
      </c>
      <c r="J12" s="14">
        <f ca="1">TODAY()-5</f>
        <v>44229</v>
      </c>
      <c r="K12" s="20">
        <v>0</v>
      </c>
      <c r="L12" s="15">
        <v>430</v>
      </c>
      <c r="M12" s="20">
        <v>0</v>
      </c>
      <c r="N12" s="21">
        <f>IF(COUNTA([1]プロジェクト管理シート!$I12,[1]プロジェクト管理シート!$J12)&lt;&gt;2,"",DAYS360([1]プロジェクト管理シート!$I12,[1]プロジェクト管理シート!$J12,FALSE))</f>
        <v>39</v>
      </c>
      <c r="O12" s="13"/>
    </row>
    <row r="13" spans="2:15" x14ac:dyDescent="0.2">
      <c r="B13" s="13" t="s">
        <v>35</v>
      </c>
      <c r="C13" s="13" t="s">
        <v>29</v>
      </c>
      <c r="D13" s="13" t="s">
        <v>18</v>
      </c>
      <c r="E13" s="14">
        <v>42405</v>
      </c>
      <c r="F13" s="14">
        <v>42530</v>
      </c>
      <c r="G13" s="15">
        <v>250</v>
      </c>
      <c r="H13" s="16">
        <f>IF(COUNTA([1]プロジェクト管理シート!$E13,[1]プロジェクト管理シート!$F13)&lt;&gt;2,"",DAYS360([1]プロジェクト管理シート!$E13,[1]プロジェクト管理シート!$F13,FALSE))</f>
        <v>124</v>
      </c>
      <c r="I13" s="19">
        <v>42434</v>
      </c>
      <c r="J13" s="14">
        <v>42495</v>
      </c>
      <c r="K13" s="20">
        <v>0</v>
      </c>
      <c r="L13" s="15">
        <v>200</v>
      </c>
      <c r="M13" s="20">
        <v>1</v>
      </c>
      <c r="N13" s="21">
        <f>IF(COUNTA([1]プロジェクト管理シート!$I13,[1]プロジェクト管理シート!$J13)&lt;&gt;2,"",DAYS360([1]プロジェクト管理シート!$I13,[1]プロジェクト管理シート!$J13,FALSE))</f>
        <v>60</v>
      </c>
      <c r="O13" s="13"/>
    </row>
  </sheetData>
  <phoneticPr fontId="1"/>
  <conditionalFormatting sqref="L5:L13">
    <cfRule type="expression" dxfId="21" priority="1">
      <formula>(ABS((L5-G5))/G5)&gt;FlagPercent</formula>
    </cfRule>
  </conditionalFormatting>
  <conditionalFormatting sqref="N5:N13">
    <cfRule type="expression" dxfId="20" priority="2">
      <formula>(ABS((N5-H5))/H5)&gt;FlagPercent</formula>
    </cfRule>
  </conditionalFormatting>
  <dataValidations count="17">
    <dataValidation allowBlank="1" showInputMessage="1" showErrorMessage="1" prompt="この列にはプロジェクトの実績開始日を入力します" sqref="I4" xr:uid="{00000000-0002-0000-0400-000000000000}"/>
    <dataValidation allowBlank="1" showInputMessage="1" showErrorMessage="1" prompt="この列にはプロジェクトの実績終了日を入力します" sqref="J4" xr:uid="{00000000-0002-0000-0400-000001000000}"/>
    <dataValidation allowBlank="1" showInputMessage="1" showErrorMessage="1" prompt="プロジェクト管理シート表で超過/過少実績作業時間を表す見出しフラグのアイコン。L 列の値が超過/過少条件を満たす場合、この列の各セルにフラグ アイコンが生成されます。空白セルは値が超過/過少条件を満たしていないことを示します" sqref="K4" xr:uid="{00000000-0002-0000-0400-000002000000}"/>
    <dataValidation allowBlank="1" showInputMessage="1" showErrorMessage="1" prompt="プロジェクト管理ワークシートで、列 N の超過/過少実績期間 (日数) の値を表す表見出しフラグ アイコン。値が超過/過少条件を満たす場合は、この列の各セルにフラグ アイコンが生成されます。空白セルは値が超過/過少条件を満たしていないことを示します" sqref="M4" xr:uid="{00000000-0002-0000-0400-000003000000}"/>
    <dataValidation allowBlank="1" showInputMessage="1" showErrorMessage="1" prompt="プロジェクトの実績作業時間を入力します。超過/過少条件を満たす値は、太字の赤い文字で強調表示され、列 K の左にフラグ アイコンが生成されます" sqref="L4" xr:uid="{00000000-0002-0000-0400-000004000000}"/>
    <dataValidation allowBlank="1" showInputMessage="1" showErrorMessage="1" prompt="プロジェクトの実績期間 (日数) を入力します。超過/過少条件を満たす値は、太字の赤い文字で強調表示され、列 M の左にフラグ アイコンが生成されます" sqref="N4" xr:uid="{00000000-0002-0000-0400-000005000000}"/>
    <dataValidation allowBlank="1" showInputMessage="1" showErrorMessage="1" prompt="この列にはプロジェクトに関するメモを入力します。" sqref="O4" xr:uid="{00000000-0002-0000-0400-000006000000}"/>
    <dataValidation allowBlank="1" showInputMessage="1" showErrorMessage="1" prompt="カスタマイズ可能な超過/過少率。プロジェクト表でこの数字を上回るか下回る実績作業の時間数と日数は強調表示されます" sqref="D2" xr:uid="{00000000-0002-0000-0400-000007000000}"/>
    <dataValidation type="list" allowBlank="1" showInputMessage="1" showErrorMessage="1" error="リストから従業員を選択するか、セットアップ ワークシートで、このリストに表示する新しい従業員を作成します。" sqref="D5:D13" xr:uid="{00000000-0002-0000-0400-000008000000}">
      <formula1>EmployeeList</formula1>
    </dataValidation>
    <dataValidation type="list" allowBlank="1" showInputMessage="1" showErrorMessage="1" error="リストからカテゴリを選択するか、セットアップ ワークシートで、このリストに表示する新しいカテゴリを作成します。" sqref="C5:C13" xr:uid="{00000000-0002-0000-0400-000009000000}">
      <formula1>CategoryList</formula1>
    </dataValidation>
    <dataValidation allowBlank="1" showInputMessage="1" showErrorMessage="1" prompt="この列にはプロジェクト名を入力します" sqref="B4" xr:uid="{00000000-0002-0000-0400-00000A000000}"/>
    <dataValidation allowBlank="1" showInputMessage="1" showErrorMessage="1" prompt="この列の各セルでドロップダウン リストからカテゴリ名を選びます。このリストのオプションはセットアップ ワークシートで定義されます。Alt キーを押しながら下方向キーを押してリスト内を移動し、Enter キーを押して選択します" sqref="C4" xr:uid="{00000000-0002-0000-0400-00000B000000}"/>
    <dataValidation allowBlank="1" showInputMessage="1" showErrorMessage="1" prompt="この列の各セルでドロップダウン リストから従業員名を選びます。オプションはセットアップ ワークシートで定義されます。Alt キーを押しながら下方向キーを押してリスト内を移動し、Enter キーを押して選択します" sqref="D4" xr:uid="{00000000-0002-0000-0400-00000C000000}"/>
    <dataValidation allowBlank="1" showInputMessage="1" showErrorMessage="1" prompt="この列にはプロジェクトの見積もり開始日を入力します" sqref="E4" xr:uid="{00000000-0002-0000-0400-00000D000000}"/>
    <dataValidation allowBlank="1" showInputMessage="1" showErrorMessage="1" prompt="この列にはプロジェクトの見積もり終了日を入力します" sqref="F4" xr:uid="{00000000-0002-0000-0400-00000E000000}"/>
    <dataValidation allowBlank="1" showInputMessage="1" showErrorMessage="1" prompt="プロジェクトの見積もり作業時間を入力します。" sqref="G4" xr:uid="{00000000-0002-0000-0400-00000F000000}"/>
    <dataValidation allowBlank="1" showInputMessage="1" showErrorMessage="1" prompt="この列にはプロジェクトの見積もり期間を入力します" sqref="H4" xr:uid="{00000000-0002-0000-0400-000010000000}"/>
  </dataValidations>
  <pageMargins left="0.7" right="0.7" top="0.75" bottom="0.75" header="0.3" footer="0.3"/>
  <pageSetup paperSize="9" orientation="portrait" r:id="rId1"/>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3" id="{A43FFED6-92A5-4C31-AD05-39BE73F7A3B2}">
            <x14:iconSet custom="1">
              <x14:cfvo type="percent">
                <xm:f>0</xm:f>
              </x14:cfvo>
              <x14:cfvo type="num">
                <xm:f>0</xm:f>
              </x14:cfvo>
              <x14:cfvo type="num">
                <xm:f>1</xm:f>
              </x14:cfvo>
              <x14:cfIcon iconSet="NoIcons" iconId="0"/>
              <x14:cfIcon iconSet="NoIcons" iconId="0"/>
              <x14:cfIcon iconSet="3Flags" iconId="0"/>
            </x14:iconSet>
          </x14:cfRule>
          <xm:sqref>K5:K13</xm:sqref>
        </x14:conditionalFormatting>
        <x14:conditionalFormatting xmlns:xm="http://schemas.microsoft.com/office/excel/2006/main">
          <x14:cfRule type="iconSet" priority="4" id="{D8823E76-E174-4E0A-96C0-CD20BD404D13}">
            <x14:iconSet custom="1">
              <x14:cfvo type="percent">
                <xm:f>0</xm:f>
              </x14:cfvo>
              <x14:cfvo type="num">
                <xm:f>0</xm:f>
              </x14:cfvo>
              <x14:cfvo type="num">
                <xm:f>1</xm:f>
              </x14:cfvo>
              <x14:cfIcon iconSet="NoIcons" iconId="0"/>
              <x14:cfIcon iconSet="NoIcons" iconId="0"/>
              <x14:cfIcon iconSet="3Flags" iconId="0"/>
            </x14:iconSet>
          </x14:cfRule>
          <xm:sqref>M5:M13</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B1:C11"/>
  <sheetViews>
    <sheetView workbookViewId="0">
      <selection activeCell="C18" sqref="C18"/>
    </sheetView>
  </sheetViews>
  <sheetFormatPr defaultColWidth="9" defaultRowHeight="30" customHeight="1" x14ac:dyDescent="0.2"/>
  <cols>
    <col min="1" max="1" width="2.6328125" style="4" customWidth="1"/>
    <col min="2" max="3" width="25.6328125" style="4" customWidth="1"/>
    <col min="4" max="4" width="2.6328125" style="4" customWidth="1"/>
    <col min="5" max="16384" width="9" style="4"/>
  </cols>
  <sheetData>
    <row r="1" spans="2:3" ht="32.5" x14ac:dyDescent="0.2">
      <c r="B1" s="22" t="s">
        <v>47</v>
      </c>
    </row>
    <row r="2" spans="2:3" ht="15" x14ac:dyDescent="0.2"/>
    <row r="3" spans="2:3" ht="15" x14ac:dyDescent="0.2"/>
    <row r="4" spans="2:3" ht="15" x14ac:dyDescent="0.2">
      <c r="B4" s="23" t="s">
        <v>48</v>
      </c>
      <c r="C4" s="23" t="s">
        <v>49</v>
      </c>
    </row>
    <row r="5" spans="2:3" ht="15" x14ac:dyDescent="0.2">
      <c r="B5" s="24" t="s">
        <v>17</v>
      </c>
      <c r="C5" s="24" t="s">
        <v>18</v>
      </c>
    </row>
    <row r="6" spans="2:3" ht="15" x14ac:dyDescent="0.2">
      <c r="B6" s="24" t="s">
        <v>20</v>
      </c>
      <c r="C6" s="24" t="s">
        <v>23</v>
      </c>
    </row>
    <row r="7" spans="2:3" ht="15" x14ac:dyDescent="0.2">
      <c r="B7" s="24" t="s">
        <v>27</v>
      </c>
      <c r="C7" s="24" t="s">
        <v>25</v>
      </c>
    </row>
    <row r="8" spans="2:3" ht="15" x14ac:dyDescent="0.2">
      <c r="B8" s="24" t="s">
        <v>29</v>
      </c>
      <c r="C8" s="24" t="s">
        <v>21</v>
      </c>
    </row>
    <row r="9" spans="2:3" ht="15" x14ac:dyDescent="0.2">
      <c r="B9" s="24" t="s">
        <v>31</v>
      </c>
      <c r="C9" s="24" t="s">
        <v>50</v>
      </c>
    </row>
    <row r="10" spans="2:3" ht="15" x14ac:dyDescent="0.2">
      <c r="B10" s="24" t="s">
        <v>51</v>
      </c>
      <c r="C10" s="24" t="s">
        <v>52</v>
      </c>
    </row>
    <row r="11" spans="2:3" ht="15" x14ac:dyDescent="0.2">
      <c r="B11" s="25"/>
      <c r="C11" s="25"/>
    </row>
  </sheetData>
  <phoneticPr fontId="1"/>
  <dataValidations count="3">
    <dataValidation allowBlank="1" showInputMessage="1" showErrorMessage="1" prompt="この列には、プロジェクト管理ワークシートでカテゴリ ドロップダウン リストのオプションとして使用するプロジェクト カテゴリを入力します。" sqref="B4" xr:uid="{00000000-0002-0000-0500-000000000000}"/>
    <dataValidation allowBlank="1" showInputMessage="1" showErrorMessage="1" prompt="この列には、プロジェクト管理ワークシートで担当者ドロップダウン リストのオプションとして使用する従業員名を入力します。" sqref="C4" xr:uid="{00000000-0002-0000-0500-000001000000}"/>
    <dataValidation allowBlank="1" showInputMessage="1" prompt="セットアップ ワークシートには、プロジェクトのカテゴリと従業員の名前を示すカスタマイズ可能なリストが含まれています。これらのリストは、プロジェクトの管理ワークシート内のドロップダウン リストとして使用されます。リストの項目数は同じである必要はありません。 " sqref="A1" xr:uid="{00000000-0002-0000-0500-000002000000}"/>
  </dataValidations>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6</vt:i4>
      </vt:variant>
    </vt:vector>
  </HeadingPairs>
  <TitlesOfParts>
    <vt:vector size="6" baseType="lpstr">
      <vt:lpstr>設計思想</vt:lpstr>
      <vt:lpstr>ブックAのシート1</vt:lpstr>
      <vt:lpstr>ブックBのシート２</vt:lpstr>
      <vt:lpstr>ブックCのシート３</vt:lpstr>
      <vt:lpstr>雛形</vt:lpstr>
      <vt:lpstr>セットアップ</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zhu zhuming</cp:lastModifiedBy>
  <dcterms:created xsi:type="dcterms:W3CDTF">2006-09-16T00:00:00Z</dcterms:created>
  <dcterms:modified xsi:type="dcterms:W3CDTF">2021-02-07T12:54:20Z</dcterms:modified>
</cp:coreProperties>
</file>